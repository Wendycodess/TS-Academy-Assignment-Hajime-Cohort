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875DE639-F7D0-9643-9365-E45C691A88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nks you need" sheetId="1" r:id="rId1"/>
    <sheet name="TEXT FXN" sheetId="2" r:id="rId2"/>
    <sheet name="AGG FXN" sheetId="3" r:id="rId3"/>
    <sheet name="EXCEL TABLE" sheetId="4" r:id="rId4"/>
    <sheet name="POWER QUERY" sheetId="5" r:id="rId5"/>
    <sheet name="COND FORMATTING AND DATA" sheetId="6" r:id="rId6"/>
    <sheet name="Look UP FXN" sheetId="7" r:id="rId7"/>
    <sheet name="Sheet1" sheetId="8" state="hidden" r:id="rId8"/>
    <sheet name="CONDITIONAL FXN" sheetId="9" r:id="rId9"/>
    <sheet name="Power Pivot" sheetId="10" r:id="rId10"/>
    <sheet name="PT AND PC" sheetId="11" r:id="rId11"/>
    <sheet name="Project" sheetId="12" r:id="rId12"/>
  </sheets>
  <definedNames>
    <definedName name="_xlnm._FilterDatabase" localSheetId="1" hidden="1">'TEXT FXN'!$H$1:$Y$100</definedName>
    <definedName name="NativeTimeline_Transaction_Date">#REF!</definedName>
    <definedName name="NativeTimeline_Transaction_Date1">#REF!</definedName>
    <definedName name="NativeTimeline_Transaction_Date2">#REF!</definedName>
    <definedName name="Slicer_Book">#REF!</definedName>
    <definedName name="Slicer_Book1">#REF!</definedName>
    <definedName name="Slicer_Currency">#REF!</definedName>
    <definedName name="Slicer_Currency1">#REF!</definedName>
    <definedName name="Slicer_Currency2">#REF!</definedName>
    <definedName name="Slicer_Currency3">#REF!</definedName>
    <definedName name="Slicer_Products">#REF!</definedName>
    <definedName name="Slicer_Products1">#REF!</definedName>
  </definedNames>
  <calcPr calcId="191028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0ry85jJZoHhcJZ7j5sAzBTjQv+SPBkJr7PIGy9grr+U="/>
    </ext>
  </extLst>
</workbook>
</file>

<file path=xl/calcChain.xml><?xml version="1.0" encoding="utf-8"?>
<calcChain xmlns="http://schemas.openxmlformats.org/spreadsheetml/2006/main">
  <c r="E425" i="11" l="1" a="1"/>
  <c r="E425" i="11"/>
  <c r="E424" i="11" a="1"/>
  <c r="E424" i="11"/>
  <c r="E423" i="11" a="1"/>
  <c r="E423" i="11"/>
  <c r="E422" i="11" a="1"/>
  <c r="E422" i="11"/>
  <c r="E421" i="11" a="1"/>
  <c r="E421" i="11"/>
  <c r="E420" i="11" a="1"/>
  <c r="E420" i="11"/>
  <c r="E419" i="11" a="1"/>
  <c r="E419" i="11"/>
  <c r="E418" i="11" a="1"/>
  <c r="E418" i="11"/>
  <c r="E417" i="11" a="1"/>
  <c r="E417" i="11"/>
  <c r="E416" i="11" a="1"/>
  <c r="E416" i="11"/>
  <c r="E415" i="11" a="1"/>
  <c r="E415" i="11"/>
  <c r="E414" i="11" a="1"/>
  <c r="E414" i="11"/>
  <c r="E413" i="11" a="1"/>
  <c r="E413" i="11"/>
  <c r="E412" i="11" a="1"/>
  <c r="E412" i="11"/>
  <c r="E411" i="11" a="1"/>
  <c r="E411" i="11"/>
  <c r="E410" i="11" a="1"/>
  <c r="E410" i="11"/>
  <c r="E409" i="11" a="1"/>
  <c r="E409" i="11"/>
  <c r="E408" i="11" a="1"/>
  <c r="E408" i="11"/>
  <c r="E407" i="11" a="1"/>
  <c r="E407" i="11"/>
  <c r="E406" i="11" a="1"/>
  <c r="E406" i="11"/>
  <c r="E405" i="11" a="1"/>
  <c r="E405" i="11"/>
  <c r="E404" i="11" a="1"/>
  <c r="E404" i="11"/>
  <c r="E403" i="11" a="1"/>
  <c r="E403" i="11"/>
  <c r="E402" i="11" a="1"/>
  <c r="E402" i="11"/>
  <c r="E401" i="11" a="1"/>
  <c r="E401" i="11"/>
  <c r="E400" i="11" a="1"/>
  <c r="E400" i="11"/>
  <c r="E399" i="11" a="1"/>
  <c r="E399" i="11"/>
  <c r="E398" i="11" a="1"/>
  <c r="E398" i="11"/>
  <c r="E397" i="11" a="1"/>
  <c r="E397" i="11"/>
  <c r="E396" i="11" a="1"/>
  <c r="E396" i="11"/>
  <c r="E395" i="11" a="1"/>
  <c r="E395" i="11"/>
  <c r="E394" i="11" a="1"/>
  <c r="E394" i="11"/>
  <c r="E393" i="11" a="1"/>
  <c r="E393" i="11"/>
  <c r="E392" i="11" a="1"/>
  <c r="E392" i="11"/>
  <c r="E391" i="11" a="1"/>
  <c r="E391" i="11"/>
  <c r="E390" i="11" a="1"/>
  <c r="E390" i="11"/>
  <c r="E389" i="11" a="1"/>
  <c r="E389" i="11"/>
  <c r="E388" i="11" a="1"/>
  <c r="E388" i="11"/>
  <c r="E387" i="11" a="1"/>
  <c r="E387" i="11"/>
  <c r="E386" i="11" a="1"/>
  <c r="E386" i="11"/>
  <c r="E385" i="11" a="1"/>
  <c r="E385" i="11"/>
  <c r="E384" i="11" a="1"/>
  <c r="E384" i="11"/>
  <c r="E383" i="11" a="1"/>
  <c r="E383" i="11"/>
  <c r="E382" i="11" a="1"/>
  <c r="E382" i="11"/>
  <c r="E381" i="11" a="1"/>
  <c r="E381" i="11"/>
  <c r="E380" i="11" a="1"/>
  <c r="E380" i="11"/>
  <c r="E379" i="11" a="1"/>
  <c r="E379" i="11"/>
  <c r="E378" i="11" a="1"/>
  <c r="E378" i="11"/>
  <c r="E377" i="11" a="1"/>
  <c r="E377" i="11"/>
  <c r="E376" i="11" a="1"/>
  <c r="E376" i="11"/>
  <c r="E375" i="11" a="1"/>
  <c r="E375" i="11"/>
  <c r="E374" i="11" a="1"/>
  <c r="E374" i="11"/>
  <c r="E373" i="11" a="1"/>
  <c r="E373" i="11"/>
  <c r="E372" i="11" a="1"/>
  <c r="E372" i="11"/>
  <c r="E371" i="11" a="1"/>
  <c r="E371" i="11"/>
  <c r="E370" i="11" a="1"/>
  <c r="E370" i="11"/>
  <c r="E369" i="11" a="1"/>
  <c r="E369" i="11"/>
  <c r="E368" i="11" a="1"/>
  <c r="E368" i="11"/>
  <c r="E367" i="11" a="1"/>
  <c r="E367" i="11"/>
  <c r="E366" i="11" a="1"/>
  <c r="E366" i="11"/>
  <c r="E365" i="11" a="1"/>
  <c r="E365" i="11"/>
  <c r="E364" i="11" a="1"/>
  <c r="E364" i="11"/>
  <c r="E363" i="11" a="1"/>
  <c r="E363" i="11"/>
  <c r="E362" i="11" a="1"/>
  <c r="E362" i="11"/>
  <c r="E361" i="11" a="1"/>
  <c r="E361" i="11"/>
  <c r="E360" i="11" a="1"/>
  <c r="E360" i="11"/>
  <c r="E359" i="11" a="1"/>
  <c r="E359" i="11"/>
  <c r="E358" i="11" a="1"/>
  <c r="E358" i="11"/>
  <c r="E357" i="11" a="1"/>
  <c r="E357" i="11"/>
  <c r="E356" i="11" a="1"/>
  <c r="E356" i="11"/>
  <c r="E355" i="11" a="1"/>
  <c r="E355" i="11"/>
  <c r="E354" i="11" a="1"/>
  <c r="E354" i="11"/>
  <c r="E353" i="11" a="1"/>
  <c r="E353" i="11"/>
  <c r="E352" i="11" a="1"/>
  <c r="E352" i="11"/>
  <c r="E351" i="11" a="1"/>
  <c r="E351" i="11"/>
  <c r="E350" i="11" a="1"/>
  <c r="E350" i="11"/>
  <c r="E349" i="11" a="1"/>
  <c r="E349" i="11"/>
  <c r="E348" i="11" a="1"/>
  <c r="E348" i="11"/>
  <c r="E347" i="11" a="1"/>
  <c r="E347" i="11"/>
  <c r="E346" i="11" a="1"/>
  <c r="E346" i="11"/>
  <c r="E345" i="11" a="1"/>
  <c r="E345" i="11"/>
  <c r="E344" i="11" a="1"/>
  <c r="E344" i="11"/>
  <c r="E343" i="11" a="1"/>
  <c r="E343" i="11"/>
  <c r="E342" i="11" a="1"/>
  <c r="E342" i="11"/>
  <c r="E341" i="11" a="1"/>
  <c r="E341" i="11"/>
  <c r="E340" i="11" a="1"/>
  <c r="E340" i="11"/>
  <c r="E339" i="11" a="1"/>
  <c r="E339" i="11"/>
  <c r="E338" i="11" a="1"/>
  <c r="E338" i="11"/>
  <c r="E337" i="11" a="1"/>
  <c r="E337" i="11"/>
  <c r="E336" i="11" a="1"/>
  <c r="E336" i="11"/>
  <c r="E335" i="11" a="1"/>
  <c r="E335" i="11"/>
  <c r="E334" i="11" a="1"/>
  <c r="E334" i="11"/>
  <c r="E333" i="11" a="1"/>
  <c r="E333" i="11"/>
  <c r="E332" i="11" a="1"/>
  <c r="E332" i="11"/>
  <c r="E331" i="11" a="1"/>
  <c r="E331" i="11"/>
  <c r="E330" i="11" a="1"/>
  <c r="E330" i="11"/>
  <c r="E329" i="11" a="1"/>
  <c r="E329" i="11"/>
  <c r="E328" i="11" a="1"/>
  <c r="E328" i="11"/>
  <c r="E327" i="11" a="1"/>
  <c r="E327" i="11"/>
  <c r="E326" i="11" a="1"/>
  <c r="E326" i="11"/>
  <c r="E325" i="11" a="1"/>
  <c r="E325" i="11"/>
  <c r="E324" i="11" a="1"/>
  <c r="E324" i="11"/>
  <c r="E323" i="11" a="1"/>
  <c r="E323" i="11"/>
  <c r="E322" i="11" a="1"/>
  <c r="E322" i="11"/>
  <c r="E321" i="11" a="1"/>
  <c r="E321" i="11"/>
  <c r="E320" i="11" a="1"/>
  <c r="E320" i="11"/>
  <c r="E319" i="11" a="1"/>
  <c r="E319" i="11"/>
  <c r="E318" i="11" a="1"/>
  <c r="E318" i="11"/>
  <c r="E317" i="11" a="1"/>
  <c r="E317" i="11"/>
  <c r="E316" i="11" a="1"/>
  <c r="E316" i="11"/>
  <c r="E315" i="11" a="1"/>
  <c r="E315" i="11"/>
  <c r="E314" i="11" a="1"/>
  <c r="E314" i="11"/>
  <c r="E313" i="11" a="1"/>
  <c r="E313" i="11"/>
  <c r="E312" i="11" a="1"/>
  <c r="E312" i="11"/>
  <c r="E311" i="11" a="1"/>
  <c r="E311" i="11"/>
  <c r="E310" i="11" a="1"/>
  <c r="E310" i="11"/>
  <c r="E309" i="11" a="1"/>
  <c r="E309" i="11"/>
  <c r="E308" i="11" a="1"/>
  <c r="E308" i="11"/>
  <c r="E307" i="11" a="1"/>
  <c r="E307" i="11"/>
  <c r="E306" i="11" a="1"/>
  <c r="E306" i="11"/>
  <c r="E305" i="11" a="1"/>
  <c r="E305" i="11"/>
  <c r="E304" i="11" a="1"/>
  <c r="E304" i="11"/>
  <c r="E303" i="11" a="1"/>
  <c r="E303" i="11"/>
  <c r="E302" i="11" a="1"/>
  <c r="E302" i="11"/>
  <c r="E301" i="11" a="1"/>
  <c r="E301" i="11"/>
  <c r="E300" i="11" a="1"/>
  <c r="E300" i="11"/>
  <c r="E299" i="11" a="1"/>
  <c r="E299" i="11"/>
  <c r="E298" i="11" a="1"/>
  <c r="E298" i="11"/>
  <c r="E297" i="11" a="1"/>
  <c r="E297" i="11"/>
  <c r="E296" i="11" a="1"/>
  <c r="E296" i="11"/>
  <c r="E295" i="11" a="1"/>
  <c r="E295" i="11"/>
  <c r="E294" i="11" a="1"/>
  <c r="E294" i="11"/>
  <c r="E293" i="11" a="1"/>
  <c r="E293" i="11"/>
  <c r="E292" i="11" a="1"/>
  <c r="E292" i="11"/>
  <c r="E291" i="11" a="1"/>
  <c r="E291" i="11"/>
  <c r="E290" i="11" a="1"/>
  <c r="E290" i="11"/>
  <c r="E289" i="11" a="1"/>
  <c r="E289" i="11"/>
  <c r="E288" i="11" a="1"/>
  <c r="E288" i="11"/>
  <c r="E287" i="11" a="1"/>
  <c r="E287" i="11"/>
  <c r="E286" i="11" a="1"/>
  <c r="E286" i="11"/>
  <c r="E285" i="11" a="1"/>
  <c r="E285" i="11"/>
  <c r="E284" i="11" a="1"/>
  <c r="E284" i="11"/>
  <c r="E283" i="11" a="1"/>
  <c r="E283" i="11"/>
  <c r="E282" i="11" a="1"/>
  <c r="E282" i="11"/>
  <c r="E281" i="11" a="1"/>
  <c r="E281" i="11"/>
  <c r="E280" i="11" a="1"/>
  <c r="E280" i="11"/>
  <c r="E279" i="11" a="1"/>
  <c r="E279" i="11"/>
  <c r="E278" i="11" a="1"/>
  <c r="E278" i="11"/>
  <c r="E277" i="11" a="1"/>
  <c r="E277" i="11"/>
  <c r="E276" i="11" a="1"/>
  <c r="E276" i="11"/>
  <c r="E275" i="11" a="1"/>
  <c r="E275" i="11"/>
  <c r="E274" i="11" a="1"/>
  <c r="E274" i="11"/>
  <c r="E273" i="11" a="1"/>
  <c r="E273" i="11"/>
  <c r="E272" i="11" a="1"/>
  <c r="E272" i="11"/>
  <c r="E271" i="11" a="1"/>
  <c r="E271" i="11"/>
  <c r="E270" i="11" a="1"/>
  <c r="E270" i="11"/>
  <c r="E269" i="11" a="1"/>
  <c r="E269" i="11"/>
  <c r="E268" i="11" a="1"/>
  <c r="E268" i="11"/>
  <c r="E267" i="11" a="1"/>
  <c r="E267" i="11"/>
  <c r="E266" i="11" a="1"/>
  <c r="E266" i="11"/>
  <c r="E265" i="11" a="1"/>
  <c r="E265" i="11"/>
  <c r="E264" i="11" a="1"/>
  <c r="E264" i="11"/>
  <c r="E263" i="11" a="1"/>
  <c r="E263" i="11"/>
  <c r="E262" i="11" a="1"/>
  <c r="E262" i="11"/>
  <c r="E261" i="11" a="1"/>
  <c r="E261" i="11"/>
  <c r="E260" i="11" a="1"/>
  <c r="E260" i="11"/>
  <c r="E259" i="11" a="1"/>
  <c r="E259" i="11"/>
  <c r="E258" i="11" a="1"/>
  <c r="E258" i="11"/>
  <c r="E257" i="11" a="1"/>
  <c r="E257" i="11"/>
  <c r="E256" i="11" a="1"/>
  <c r="E256" i="11"/>
  <c r="E255" i="11" a="1"/>
  <c r="E255" i="11"/>
  <c r="E254" i="11" a="1"/>
  <c r="E254" i="11"/>
  <c r="E253" i="11" a="1"/>
  <c r="E253" i="11"/>
  <c r="E252" i="11" a="1"/>
  <c r="E252" i="11"/>
  <c r="E251" i="11" a="1"/>
  <c r="E251" i="11"/>
  <c r="E250" i="11" a="1"/>
  <c r="E250" i="11"/>
  <c r="E249" i="11" a="1"/>
  <c r="E249" i="11"/>
  <c r="E248" i="11" a="1"/>
  <c r="E248" i="11"/>
  <c r="E247" i="11" a="1"/>
  <c r="E247" i="11"/>
  <c r="E246" i="11" a="1"/>
  <c r="E246" i="11"/>
  <c r="E245" i="11" a="1"/>
  <c r="E245" i="11"/>
  <c r="E244" i="11" a="1"/>
  <c r="E244" i="11"/>
  <c r="E243" i="11" a="1"/>
  <c r="E243" i="11"/>
  <c r="E242" i="11" a="1"/>
  <c r="E242" i="11"/>
  <c r="E241" i="11" a="1"/>
  <c r="E241" i="11"/>
  <c r="E240" i="11" a="1"/>
  <c r="E240" i="11"/>
  <c r="E239" i="11" a="1"/>
  <c r="E239" i="11"/>
  <c r="E238" i="11" a="1"/>
  <c r="E238" i="11"/>
  <c r="E237" i="11" a="1"/>
  <c r="E237" i="11"/>
  <c r="E236" i="11" a="1"/>
  <c r="E236" i="11"/>
  <c r="E235" i="11" a="1"/>
  <c r="E235" i="11"/>
  <c r="E234" i="11" a="1"/>
  <c r="E234" i="11"/>
  <c r="E233" i="11" a="1"/>
  <c r="E233" i="11"/>
  <c r="E232" i="11" a="1"/>
  <c r="E232" i="11"/>
  <c r="E231" i="11" a="1"/>
  <c r="E231" i="11"/>
  <c r="E230" i="11" a="1"/>
  <c r="E230" i="11"/>
  <c r="E229" i="11" a="1"/>
  <c r="E229" i="11"/>
  <c r="E228" i="11" a="1"/>
  <c r="E228" i="11"/>
  <c r="E227" i="11" a="1"/>
  <c r="E227" i="11"/>
  <c r="E226" i="11" a="1"/>
  <c r="E226" i="11"/>
  <c r="E225" i="11" a="1"/>
  <c r="E225" i="11"/>
  <c r="E224" i="11" a="1"/>
  <c r="E224" i="11"/>
  <c r="E223" i="11" a="1"/>
  <c r="E223" i="11"/>
  <c r="E222" i="11" a="1"/>
  <c r="E222" i="11"/>
  <c r="E221" i="11" a="1"/>
  <c r="E221" i="11"/>
  <c r="E220" i="11" a="1"/>
  <c r="E220" i="11"/>
  <c r="E219" i="11" a="1"/>
  <c r="E219" i="11"/>
  <c r="E218" i="11" a="1"/>
  <c r="E218" i="11"/>
  <c r="E217" i="11" a="1"/>
  <c r="E217" i="11"/>
  <c r="E216" i="11" a="1"/>
  <c r="E216" i="11"/>
  <c r="E215" i="11" a="1"/>
  <c r="E215" i="11"/>
  <c r="E214" i="11" a="1"/>
  <c r="E214" i="11"/>
  <c r="E213" i="11" a="1"/>
  <c r="E213" i="11"/>
  <c r="E212" i="11" a="1"/>
  <c r="E212" i="11"/>
  <c r="E211" i="11" a="1"/>
  <c r="E211" i="11"/>
  <c r="E210" i="11" a="1"/>
  <c r="E210" i="11"/>
  <c r="E209" i="11" a="1"/>
  <c r="E209" i="11"/>
  <c r="E208" i="11" a="1"/>
  <c r="E208" i="11"/>
  <c r="E207" i="11" a="1"/>
  <c r="E207" i="11"/>
  <c r="E206" i="11" a="1"/>
  <c r="E206" i="11"/>
  <c r="E205" i="11" a="1"/>
  <c r="E205" i="11"/>
  <c r="E204" i="11" a="1"/>
  <c r="E204" i="11"/>
  <c r="E203" i="11" a="1"/>
  <c r="E203" i="11"/>
  <c r="E202" i="11" a="1"/>
  <c r="E202" i="11"/>
  <c r="E201" i="11" a="1"/>
  <c r="E201" i="11"/>
  <c r="E200" i="11" a="1"/>
  <c r="E200" i="11"/>
  <c r="E199" i="11" a="1"/>
  <c r="E199" i="11"/>
  <c r="E198" i="11" a="1"/>
  <c r="E198" i="11"/>
  <c r="E197" i="11" a="1"/>
  <c r="E197" i="11"/>
  <c r="E196" i="11" a="1"/>
  <c r="E196" i="11"/>
  <c r="E195" i="11" a="1"/>
  <c r="E195" i="11"/>
  <c r="E194" i="11" a="1"/>
  <c r="E194" i="11"/>
  <c r="E193" i="11" a="1"/>
  <c r="E193" i="11"/>
  <c r="E192" i="11" a="1"/>
  <c r="E192" i="11"/>
  <c r="E191" i="11" a="1"/>
  <c r="E191" i="11"/>
  <c r="E190" i="11" a="1"/>
  <c r="E190" i="11"/>
  <c r="E189" i="11" a="1"/>
  <c r="E189" i="11"/>
  <c r="E188" i="11" a="1"/>
  <c r="E188" i="11"/>
  <c r="E187" i="11" a="1"/>
  <c r="E187" i="11"/>
  <c r="E186" i="11" a="1"/>
  <c r="E186" i="11"/>
  <c r="E185" i="11" a="1"/>
  <c r="E185" i="11"/>
  <c r="E184" i="11" a="1"/>
  <c r="E184" i="11"/>
  <c r="E183" i="11" a="1"/>
  <c r="E183" i="11"/>
  <c r="E182" i="11" a="1"/>
  <c r="E182" i="11"/>
  <c r="E181" i="11" a="1"/>
  <c r="E181" i="11"/>
  <c r="E180" i="11" a="1"/>
  <c r="E180" i="11"/>
  <c r="E179" i="11" a="1"/>
  <c r="E179" i="11"/>
  <c r="E178" i="11" a="1"/>
  <c r="E178" i="11"/>
  <c r="E177" i="11" a="1"/>
  <c r="E177" i="11"/>
  <c r="E176" i="11" a="1"/>
  <c r="E176" i="11"/>
  <c r="E175" i="11" a="1"/>
  <c r="E175" i="11"/>
  <c r="E174" i="11" a="1"/>
  <c r="E174" i="11"/>
  <c r="E173" i="11" a="1"/>
  <c r="E173" i="11"/>
  <c r="E172" i="11" a="1"/>
  <c r="E172" i="11"/>
  <c r="E171" i="11" a="1"/>
  <c r="E171" i="11"/>
  <c r="E170" i="11" a="1"/>
  <c r="E170" i="11"/>
  <c r="E169" i="11" a="1"/>
  <c r="E169" i="11"/>
  <c r="E168" i="11" a="1"/>
  <c r="E168" i="11"/>
  <c r="E167" i="11" a="1"/>
  <c r="E167" i="11"/>
  <c r="E166" i="11" a="1"/>
  <c r="E166" i="11"/>
  <c r="E165" i="11" a="1"/>
  <c r="E165" i="11"/>
  <c r="E164" i="11" a="1"/>
  <c r="E164" i="11"/>
  <c r="E163" i="11" a="1"/>
  <c r="E163" i="11"/>
  <c r="E162" i="11" a="1"/>
  <c r="E162" i="11"/>
  <c r="E161" i="11" a="1"/>
  <c r="E161" i="11"/>
  <c r="E160" i="11" a="1"/>
  <c r="E160" i="11"/>
  <c r="E159" i="11" a="1"/>
  <c r="E159" i="11"/>
  <c r="E158" i="11" a="1"/>
  <c r="E158" i="11"/>
  <c r="E157" i="11" a="1"/>
  <c r="E157" i="11"/>
  <c r="E156" i="11" a="1"/>
  <c r="E156" i="11"/>
  <c r="E155" i="11" a="1"/>
  <c r="E155" i="11"/>
  <c r="E154" i="11" a="1"/>
  <c r="E154" i="11"/>
  <c r="E153" i="11" a="1"/>
  <c r="E153" i="11"/>
  <c r="E152" i="11" a="1"/>
  <c r="E152" i="11"/>
  <c r="E151" i="11" a="1"/>
  <c r="E151" i="11"/>
  <c r="E150" i="11" a="1"/>
  <c r="E150" i="11"/>
  <c r="E149" i="11" a="1"/>
  <c r="E149" i="11"/>
  <c r="E148" i="11" a="1"/>
  <c r="E148" i="11"/>
  <c r="E147" i="11" a="1"/>
  <c r="E147" i="11"/>
  <c r="E146" i="11" a="1"/>
  <c r="E146" i="11"/>
  <c r="E145" i="11" a="1"/>
  <c r="E145" i="11"/>
  <c r="E144" i="11" a="1"/>
  <c r="E144" i="11"/>
  <c r="E143" i="11" a="1"/>
  <c r="E143" i="11"/>
  <c r="E142" i="11" a="1"/>
  <c r="E142" i="11"/>
  <c r="E141" i="11" a="1"/>
  <c r="E141" i="11"/>
  <c r="E140" i="11" a="1"/>
  <c r="E140" i="11"/>
  <c r="E139" i="11" a="1"/>
  <c r="E139" i="11"/>
  <c r="E138" i="11" a="1"/>
  <c r="E138" i="11"/>
  <c r="E137" i="11" a="1"/>
  <c r="E137" i="11"/>
  <c r="E136" i="11" a="1"/>
  <c r="E136" i="11"/>
  <c r="E135" i="11" a="1"/>
  <c r="E135" i="11"/>
  <c r="E134" i="11" a="1"/>
  <c r="E134" i="11"/>
  <c r="E133" i="11" a="1"/>
  <c r="E133" i="11"/>
  <c r="E132" i="11" a="1"/>
  <c r="E132" i="11"/>
  <c r="E131" i="11" a="1"/>
  <c r="E131" i="11"/>
  <c r="E130" i="11" a="1"/>
  <c r="E130" i="11"/>
  <c r="E129" i="11" a="1"/>
  <c r="E129" i="11"/>
  <c r="E128" i="11" a="1"/>
  <c r="E128" i="11"/>
  <c r="E127" i="11" a="1"/>
  <c r="E127" i="11"/>
  <c r="E126" i="11" a="1"/>
  <c r="E126" i="11"/>
  <c r="E125" i="11" a="1"/>
  <c r="E125" i="11"/>
  <c r="E124" i="11" a="1"/>
  <c r="E124" i="11"/>
  <c r="E123" i="11" a="1"/>
  <c r="E123" i="11"/>
  <c r="E122" i="11" a="1"/>
  <c r="E122" i="11"/>
  <c r="E121" i="11" a="1"/>
  <c r="E121" i="11"/>
  <c r="E120" i="11" a="1"/>
  <c r="E120" i="11"/>
  <c r="E119" i="11" a="1"/>
  <c r="E119" i="11"/>
  <c r="E118" i="11" a="1"/>
  <c r="E118" i="11"/>
  <c r="E117" i="11" a="1"/>
  <c r="E117" i="11"/>
  <c r="E116" i="11" a="1"/>
  <c r="E116" i="11"/>
  <c r="E115" i="11" a="1"/>
  <c r="E115" i="11"/>
  <c r="E114" i="11" a="1"/>
  <c r="E114" i="11"/>
  <c r="E113" i="11" a="1"/>
  <c r="E113" i="11"/>
  <c r="E112" i="11" a="1"/>
  <c r="E112" i="11"/>
  <c r="E111" i="11" a="1"/>
  <c r="E111" i="11"/>
  <c r="E110" i="11" a="1"/>
  <c r="E110" i="11"/>
  <c r="E109" i="11" a="1"/>
  <c r="E109" i="11"/>
  <c r="E108" i="11" a="1"/>
  <c r="E108" i="11"/>
  <c r="E107" i="11" a="1"/>
  <c r="E107" i="11"/>
  <c r="E106" i="11" a="1"/>
  <c r="E106" i="11"/>
  <c r="E105" i="11" a="1"/>
  <c r="E105" i="11"/>
  <c r="E104" i="11" a="1"/>
  <c r="E104" i="11"/>
  <c r="E103" i="11" a="1"/>
  <c r="E103" i="11"/>
  <c r="E102" i="11" a="1"/>
  <c r="E102" i="11"/>
  <c r="E101" i="11" a="1"/>
  <c r="E101" i="11"/>
  <c r="E100" i="11" a="1"/>
  <c r="E100" i="11"/>
  <c r="E99" i="11" a="1"/>
  <c r="E99" i="11"/>
  <c r="E98" i="11" a="1"/>
  <c r="E98" i="11"/>
  <c r="E97" i="11" a="1"/>
  <c r="E97" i="11"/>
  <c r="E96" i="11" a="1"/>
  <c r="E96" i="11"/>
  <c r="E95" i="11" a="1"/>
  <c r="E95" i="11"/>
  <c r="E94" i="11" a="1"/>
  <c r="E94" i="11"/>
  <c r="E93" i="11" a="1"/>
  <c r="E93" i="11"/>
  <c r="E92" i="11" a="1"/>
  <c r="E92" i="11"/>
  <c r="E91" i="11" a="1"/>
  <c r="E91" i="11"/>
  <c r="E90" i="11" a="1"/>
  <c r="E90" i="11"/>
  <c r="E89" i="11" a="1"/>
  <c r="E89" i="11"/>
  <c r="E88" i="11" a="1"/>
  <c r="E88" i="11"/>
  <c r="E87" i="11" a="1"/>
  <c r="E87" i="11"/>
  <c r="E86" i="11" a="1"/>
  <c r="E86" i="11"/>
  <c r="E85" i="11" a="1"/>
  <c r="E85" i="11"/>
  <c r="E84" i="11" a="1"/>
  <c r="E84" i="11"/>
  <c r="E83" i="11" a="1"/>
  <c r="E83" i="11"/>
  <c r="E82" i="11" a="1"/>
  <c r="E82" i="11"/>
  <c r="E81" i="11" a="1"/>
  <c r="E81" i="11"/>
  <c r="E80" i="11" a="1"/>
  <c r="E80" i="11"/>
  <c r="E79" i="11" a="1"/>
  <c r="E79" i="11"/>
  <c r="E78" i="11" a="1"/>
  <c r="E78" i="11"/>
  <c r="E77" i="11" a="1"/>
  <c r="E77" i="11"/>
  <c r="E76" i="11" a="1"/>
  <c r="E76" i="11"/>
  <c r="E75" i="11" a="1"/>
  <c r="E75" i="11"/>
  <c r="E74" i="11" a="1"/>
  <c r="E74" i="11"/>
  <c r="E73" i="11" a="1"/>
  <c r="E73" i="11"/>
  <c r="E72" i="11" a="1"/>
  <c r="E72" i="11"/>
  <c r="E71" i="11" a="1"/>
  <c r="E71" i="11"/>
  <c r="E70" i="11" a="1"/>
  <c r="E70" i="11"/>
  <c r="E69" i="11" a="1"/>
  <c r="E69" i="11"/>
  <c r="E68" i="11" a="1"/>
  <c r="E68" i="11"/>
  <c r="E67" i="11" a="1"/>
  <c r="E67" i="11"/>
  <c r="E66" i="11" a="1"/>
  <c r="E66" i="11"/>
  <c r="E65" i="11" a="1"/>
  <c r="E65" i="11"/>
  <c r="E64" i="11" a="1"/>
  <c r="E64" i="11"/>
  <c r="E63" i="11" a="1"/>
  <c r="E63" i="11"/>
  <c r="E62" i="11" a="1"/>
  <c r="E62" i="11"/>
  <c r="E61" i="11" a="1"/>
  <c r="E61" i="11"/>
  <c r="E60" i="11" a="1"/>
  <c r="E60" i="11"/>
  <c r="E59" i="11" a="1"/>
  <c r="E59" i="11"/>
  <c r="E58" i="11" a="1"/>
  <c r="E58" i="11"/>
  <c r="E57" i="11" a="1"/>
  <c r="E57" i="11"/>
  <c r="E56" i="11" a="1"/>
  <c r="E56" i="11"/>
  <c r="E55" i="11" a="1"/>
  <c r="E55" i="11"/>
  <c r="E54" i="11" a="1"/>
  <c r="E54" i="11"/>
  <c r="E53" i="11" a="1"/>
  <c r="E53" i="11"/>
  <c r="E52" i="11" a="1"/>
  <c r="E52" i="11"/>
  <c r="E51" i="11" a="1"/>
  <c r="E51" i="11"/>
  <c r="E50" i="11" a="1"/>
  <c r="E50" i="11"/>
  <c r="E49" i="11" a="1"/>
  <c r="E49" i="11"/>
  <c r="E48" i="11" a="1"/>
  <c r="E48" i="11"/>
  <c r="E47" i="11" a="1"/>
  <c r="E47" i="11"/>
  <c r="E46" i="11" a="1"/>
  <c r="E46" i="11"/>
  <c r="E45" i="11" a="1"/>
  <c r="E45" i="11"/>
  <c r="E44" i="11" a="1"/>
  <c r="E44" i="11"/>
  <c r="E43" i="11" a="1"/>
  <c r="E43" i="11"/>
  <c r="E42" i="11" a="1"/>
  <c r="E42" i="11"/>
  <c r="E41" i="11" a="1"/>
  <c r="E41" i="11"/>
  <c r="E40" i="11" a="1"/>
  <c r="E40" i="11"/>
  <c r="E39" i="11" a="1"/>
  <c r="E39" i="11"/>
  <c r="E38" i="11" a="1"/>
  <c r="E38" i="11"/>
  <c r="E37" i="11" a="1"/>
  <c r="E37" i="11"/>
  <c r="E36" i="11" a="1"/>
  <c r="E36" i="11"/>
  <c r="E35" i="11" a="1"/>
  <c r="E35" i="11"/>
  <c r="E34" i="11" a="1"/>
  <c r="E34" i="11"/>
  <c r="E33" i="11" a="1"/>
  <c r="E33" i="11"/>
  <c r="E32" i="11" a="1"/>
  <c r="E32" i="11"/>
  <c r="E31" i="11" a="1"/>
  <c r="E31" i="11"/>
  <c r="E30" i="11" a="1"/>
  <c r="E30" i="11"/>
  <c r="E29" i="11" a="1"/>
  <c r="E29" i="11"/>
  <c r="E28" i="11" a="1"/>
  <c r="E28" i="11"/>
  <c r="E27" i="11" a="1"/>
  <c r="E27" i="11"/>
  <c r="E26" i="11" a="1"/>
  <c r="E26" i="11"/>
  <c r="E25" i="11" a="1"/>
  <c r="E25" i="11"/>
  <c r="E24" i="11" a="1"/>
  <c r="E24" i="11"/>
  <c r="E23" i="11" a="1"/>
  <c r="E23" i="11"/>
  <c r="E22" i="11" a="1"/>
  <c r="E22" i="11"/>
  <c r="E21" i="11" a="1"/>
  <c r="E21" i="11"/>
  <c r="E20" i="11" a="1"/>
  <c r="E20" i="11"/>
  <c r="E19" i="11" a="1"/>
  <c r="E19" i="11"/>
  <c r="E18" i="11" a="1"/>
  <c r="E18" i="11"/>
  <c r="E17" i="11" a="1"/>
  <c r="E17" i="11"/>
  <c r="E16" i="11" a="1"/>
  <c r="E16" i="11"/>
  <c r="E15" i="11" a="1"/>
  <c r="E15" i="11"/>
  <c r="E14" i="11" a="1"/>
  <c r="E14" i="11"/>
  <c r="E13" i="11" a="1"/>
  <c r="E13" i="11"/>
  <c r="E12" i="11" a="1"/>
  <c r="E12" i="11"/>
  <c r="E11" i="11" a="1"/>
  <c r="E11" i="11"/>
  <c r="E10" i="11" a="1"/>
  <c r="E10" i="11"/>
  <c r="E9" i="11" a="1"/>
  <c r="E9" i="11"/>
  <c r="E8" i="11" a="1"/>
  <c r="E8" i="11"/>
  <c r="E7" i="11" a="1"/>
  <c r="E7" i="11"/>
  <c r="E6" i="11" a="1"/>
  <c r="E6" i="11"/>
  <c r="E5" i="11" a="1"/>
  <c r="E5" i="11"/>
  <c r="E4" i="11" a="1"/>
  <c r="E4" i="11"/>
  <c r="E3" i="11" a="1"/>
  <c r="E3" i="11"/>
  <c r="E2" i="11" a="1"/>
  <c r="E2" i="11"/>
  <c r="D93" i="9"/>
  <c r="A18" i="7" a="1"/>
  <c r="B18" i="7"/>
  <c r="C18" i="7"/>
  <c r="D18" i="7"/>
  <c r="E18" i="7"/>
  <c r="F18" i="7"/>
  <c r="G18" i="7"/>
  <c r="A19" i="7"/>
  <c r="B19" i="7"/>
  <c r="C19" i="7"/>
  <c r="D19" i="7"/>
  <c r="E19" i="7"/>
  <c r="F19" i="7"/>
  <c r="G19" i="7"/>
  <c r="A20" i="7"/>
  <c r="B20" i="7"/>
  <c r="C20" i="7"/>
  <c r="D20" i="7"/>
  <c r="E20" i="7"/>
  <c r="F20" i="7"/>
  <c r="G20" i="7"/>
  <c r="A21" i="7"/>
  <c r="B21" i="7"/>
  <c r="C21" i="7"/>
  <c r="D21" i="7"/>
  <c r="E21" i="7"/>
  <c r="F21" i="7"/>
  <c r="G21" i="7"/>
  <c r="A22" i="7"/>
  <c r="B22" i="7"/>
  <c r="C22" i="7"/>
  <c r="D22" i="7"/>
  <c r="E22" i="7"/>
  <c r="F22" i="7"/>
  <c r="G22" i="7"/>
  <c r="A23" i="7"/>
  <c r="B23" i="7"/>
  <c r="C23" i="7"/>
  <c r="D23" i="7"/>
  <c r="E23" i="7"/>
  <c r="F23" i="7"/>
  <c r="G23" i="7"/>
  <c r="A24" i="7"/>
  <c r="B24" i="7"/>
  <c r="C24" i="7"/>
  <c r="D24" i="7"/>
  <c r="E24" i="7"/>
  <c r="F24" i="7"/>
  <c r="G24" i="7"/>
  <c r="A18" i="7"/>
  <c r="D425" i="3"/>
</calcChain>
</file>

<file path=xl/sharedStrings.xml><?xml version="1.0" encoding="utf-8"?>
<sst xmlns="http://schemas.openxmlformats.org/spreadsheetml/2006/main" count="2250" uniqueCount="133">
  <si>
    <t>Excel should come with your PC or buy the license from MS store or get it from a computer operator around you</t>
  </si>
  <si>
    <t>SQL Server: https://www.youtube.com/watch?v=tV20RClXehQ</t>
  </si>
  <si>
    <t>Power BI: https://www.microsoft.com/en-us/download/details.aspx?id=58494</t>
  </si>
  <si>
    <t>Python: https://colab.google/</t>
  </si>
  <si>
    <t>Learn how to use colab here: https://www.youtube.com/watch?v=FXKMmilL70w&amp;pp=ygUXaG93IHRvIHVzZSBnb29nbGUgY29sYWI%3D</t>
  </si>
  <si>
    <t>My YouTube is a guide for you: https://www.youtube.com/@EzekielAleke</t>
  </si>
  <si>
    <t>Connect with me on substack: https://substack.com/@ezekielaleke?</t>
  </si>
  <si>
    <t>Products</t>
  </si>
  <si>
    <t>Transaction Date</t>
  </si>
  <si>
    <t>Currency</t>
  </si>
  <si>
    <t>Total</t>
  </si>
  <si>
    <t xml:space="preserve"> CONCATENATE</t>
  </si>
  <si>
    <t xml:space="preserve"> CONCAT</t>
  </si>
  <si>
    <t xml:space="preserve"> TEXTJOIN</t>
  </si>
  <si>
    <t>&amp;</t>
  </si>
  <si>
    <t>TEXTSPLIT</t>
  </si>
  <si>
    <t xml:space="preserve"> LEFT</t>
  </si>
  <si>
    <t xml:space="preserve"> RIGHT</t>
  </si>
  <si>
    <t xml:space="preserve"> MID</t>
  </si>
  <si>
    <t xml:space="preserve"> Substitute</t>
  </si>
  <si>
    <t xml:space="preserve"> LEN</t>
  </si>
  <si>
    <t xml:space="preserve"> UPPER</t>
  </si>
  <si>
    <t>LOWER</t>
  </si>
  <si>
    <t xml:space="preserve"> PROPER</t>
  </si>
  <si>
    <t xml:space="preserve"> UNIQUE</t>
  </si>
  <si>
    <t>TRIM</t>
  </si>
  <si>
    <t xml:space="preserve"> REPT</t>
  </si>
  <si>
    <t xml:space="preserve"> EXACT</t>
  </si>
  <si>
    <t xml:space="preserve"> TRANSPOSE</t>
  </si>
  <si>
    <t>PYTHON, EXCEL     AND SQL      CLASS</t>
  </si>
  <si>
    <t>GHS</t>
  </si>
  <si>
    <t>DATA ANALYSIS   MADE       EASY</t>
  </si>
  <si>
    <t>DATA ANALYSIS MADE EASY</t>
  </si>
  <si>
    <t>GBP</t>
  </si>
  <si>
    <t>TECHIES GUIDE TO MASTERING SOFT SKILLS IN A WORKPLACE</t>
  </si>
  <si>
    <t xml:space="preserve">GBP  </t>
  </si>
  <si>
    <t>POWER BI, Excel and sql Class</t>
  </si>
  <si>
    <t>Revenue</t>
  </si>
  <si>
    <t>UGX</t>
  </si>
  <si>
    <t>TZS</t>
  </si>
  <si>
    <t>RWF</t>
  </si>
  <si>
    <t>SUM</t>
  </si>
  <si>
    <t>SUMIF</t>
  </si>
  <si>
    <t>SUMIFS</t>
  </si>
  <si>
    <t>AVG</t>
  </si>
  <si>
    <t>AVGIF</t>
  </si>
  <si>
    <t>AVGIFS</t>
  </si>
  <si>
    <t>COUNT</t>
  </si>
  <si>
    <t>COUNTA</t>
  </si>
  <si>
    <t>COUNTIF</t>
  </si>
  <si>
    <t>COUNTIFS</t>
  </si>
  <si>
    <t>MAX</t>
  </si>
  <si>
    <t>MAXIFS</t>
  </si>
  <si>
    <t>MIN</t>
  </si>
  <si>
    <t>MINIFS</t>
  </si>
  <si>
    <t>Techies Guide</t>
  </si>
  <si>
    <t>NGN</t>
  </si>
  <si>
    <t>XAF</t>
  </si>
  <si>
    <t>KES</t>
  </si>
  <si>
    <t>ZAR</t>
  </si>
  <si>
    <t>USD</t>
  </si>
  <si>
    <t>12 Strategies</t>
  </si>
  <si>
    <t>Yes it is empty</t>
  </si>
  <si>
    <t>Make</t>
  </si>
  <si>
    <t>Color</t>
  </si>
  <si>
    <t>Mileage</t>
  </si>
  <si>
    <t>Price</t>
  </si>
  <si>
    <t>Cost</t>
  </si>
  <si>
    <t>Profit</t>
  </si>
  <si>
    <t>Chevrolet Impala</t>
  </si>
  <si>
    <t>White</t>
  </si>
  <si>
    <t>Honda Civic</t>
  </si>
  <si>
    <t>Toyota Corolla</t>
  </si>
  <si>
    <t>Blue</t>
  </si>
  <si>
    <t>Ford F-150</t>
  </si>
  <si>
    <t>Black</t>
  </si>
  <si>
    <t>Nissan Altima</t>
  </si>
  <si>
    <t>Green</t>
  </si>
  <si>
    <t>Ford Mustang</t>
  </si>
  <si>
    <t>Honda Accord</t>
  </si>
  <si>
    <t>red</t>
  </si>
  <si>
    <t>Chevrolet Malibu</t>
  </si>
  <si>
    <t>Chevrolet Silverado</t>
  </si>
  <si>
    <t>Toyota Camry</t>
  </si>
  <si>
    <t>Ford Escape</t>
  </si>
  <si>
    <t>Red</t>
  </si>
  <si>
    <t>Car</t>
  </si>
  <si>
    <t>Model</t>
  </si>
  <si>
    <t>Date</t>
  </si>
  <si>
    <t>Honda</t>
  </si>
  <si>
    <t>Accord</t>
  </si>
  <si>
    <t>VLOOKUP</t>
  </si>
  <si>
    <t>XLOOKUP</t>
  </si>
  <si>
    <t>Toyota</t>
  </si>
  <si>
    <t>Camry</t>
  </si>
  <si>
    <t>Price Honda</t>
  </si>
  <si>
    <t>Nissan</t>
  </si>
  <si>
    <t>Altima</t>
  </si>
  <si>
    <t>Ford</t>
  </si>
  <si>
    <t>F-150</t>
  </si>
  <si>
    <t>Cost Camry</t>
  </si>
  <si>
    <t>Chevrolet</t>
  </si>
  <si>
    <t>Silverado</t>
  </si>
  <si>
    <t>black car</t>
  </si>
  <si>
    <t>Dodge</t>
  </si>
  <si>
    <t>Charger</t>
  </si>
  <si>
    <t>Silver</t>
  </si>
  <si>
    <t>HLOOKUP</t>
  </si>
  <si>
    <t>INDEX/MATCH</t>
  </si>
  <si>
    <t>(ALL)</t>
  </si>
  <si>
    <t>Name</t>
  </si>
  <si>
    <t>Age</t>
  </si>
  <si>
    <t>Age group</t>
  </si>
  <si>
    <t>IFS</t>
  </si>
  <si>
    <t>Switch</t>
  </si>
  <si>
    <t>IF</t>
  </si>
  <si>
    <t>SWITCH</t>
  </si>
  <si>
    <t>Nested IF</t>
  </si>
  <si>
    <t>Vera</t>
  </si>
  <si>
    <t>Eze</t>
  </si>
  <si>
    <t>Joko</t>
  </si>
  <si>
    <t>Ridwan</t>
  </si>
  <si>
    <t>Leke</t>
  </si>
  <si>
    <t>Oyin</t>
  </si>
  <si>
    <t>Ekpe</t>
  </si>
  <si>
    <t>Funke</t>
  </si>
  <si>
    <t>Nelson</t>
  </si>
  <si>
    <t>30 Young</t>
  </si>
  <si>
    <t>31-50 Adult</t>
  </si>
  <si>
    <t>51- Old</t>
  </si>
  <si>
    <t>REVENUE</t>
  </si>
  <si>
    <t>Total Revenue</t>
  </si>
  <si>
    <t>DAME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</si>
</sst>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&quot;₦&quot;* #,##0.00_-;\-&quot;₦&quot;* #,##0.00_-;_-&quot;₦&quot;* &quot;-&quot;??_-;_-@"/>
    <numFmt numFmtId="165" formatCode="_-* #,##0.00_-;\-* #,##0.00_-;_-* &quot;-&quot;??_-;_-@"/>
    <numFmt numFmtId="166" formatCode="_(* #,##0_);_(* \(#,##0\);_(* &quot;-&quot;??_);_(@_)"/>
    <numFmt numFmtId="167" formatCode="_(&quot;$&quot;* #,##0_);_(&quot;$&quot;* \(#,##0\);_(&quot;$&quot;* &quot;-&quot;??_);_(@_)"/>
  </numFmts>
  <fonts count="10" x14ac:knownFonts="1">
    <font>
      <sz val="11"/>
      <color theme="1"/>
      <name val="Arial"/>
      <scheme val="minor"/>
    </font>
    <font>
      <sz val="11"/>
      <color theme="1"/>
      <name val="Inter"/>
    </font>
    <font>
      <b/>
      <sz val="11"/>
      <color theme="1"/>
      <name val="Aptos Narrow"/>
    </font>
    <font>
      <sz val="11"/>
      <color theme="0"/>
      <name val="Aptos Narrow"/>
    </font>
    <font>
      <b/>
      <sz val="11"/>
      <color theme="0"/>
      <name val="Aptos Narrow"/>
    </font>
    <font>
      <sz val="11"/>
      <color theme="1"/>
      <name val="Aptos Narrow"/>
    </font>
    <font>
      <sz val="11"/>
      <color theme="1"/>
      <name val="Arial"/>
    </font>
    <font>
      <b/>
      <sz val="11"/>
      <color theme="1"/>
      <name val="Arial"/>
    </font>
    <font>
      <sz val="11"/>
      <color theme="1"/>
      <name val="Arial"/>
      <scheme val="minor"/>
    </font>
    <font>
      <b/>
      <sz val="11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8A8A8A"/>
        <bgColor rgb="FF8A8A8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3D0E1"/>
        <bgColor rgb="FFA3D0E1"/>
      </patternFill>
    </fill>
    <fill>
      <patternFill patternType="solid">
        <fgColor theme="7"/>
        <bgColor theme="7"/>
      </patternFill>
    </fill>
    <fill>
      <patternFill patternType="solid">
        <fgColor rgb="FFE9EBED"/>
        <bgColor rgb="FFE9EBED"/>
      </patternFill>
    </fill>
    <fill>
      <patternFill patternType="solid">
        <fgColor rgb="FFD4D8DB"/>
        <bgColor rgb="FFD4D8DB"/>
      </patternFill>
    </fill>
    <fill>
      <patternFill patternType="solid">
        <fgColor rgb="FF839DCC"/>
        <bgColor rgb="FF839DCC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839DCC"/>
      </left>
      <right/>
      <top style="thin">
        <color rgb="FF839DCC"/>
      </top>
      <bottom style="thin">
        <color rgb="FF839DCC"/>
      </bottom>
      <diagonal/>
    </border>
    <border>
      <left/>
      <right/>
      <top style="thin">
        <color rgb="FF839DCC"/>
      </top>
      <bottom/>
      <diagonal/>
    </border>
    <border>
      <left/>
      <right/>
      <top style="thin">
        <color rgb="FF839DCC"/>
      </top>
      <bottom/>
      <diagonal/>
    </border>
    <border>
      <left style="thin">
        <color rgb="FF839DCC"/>
      </left>
      <right/>
      <top/>
      <bottom style="thin">
        <color rgb="FF839DCC"/>
      </bottom>
      <diagonal/>
    </border>
    <border>
      <left/>
      <right/>
      <top/>
      <bottom style="thin">
        <color rgb="FF839DCC"/>
      </bottom>
      <diagonal/>
    </border>
    <border>
      <left style="thin">
        <color theme="0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22" fontId="5" fillId="0" borderId="3" xfId="0" applyNumberFormat="1" applyFont="1" applyBorder="1"/>
    <xf numFmtId="0" fontId="5" fillId="3" borderId="4" xfId="0" applyFont="1" applyFill="1" applyBorder="1"/>
    <xf numFmtId="22" fontId="5" fillId="3" borderId="4" xfId="0" applyNumberFormat="1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2" fillId="3" borderId="5" xfId="0" applyFont="1" applyFill="1" applyBorder="1"/>
    <xf numFmtId="22" fontId="2" fillId="3" borderId="6" xfId="0" applyNumberFormat="1" applyFont="1" applyFill="1" applyBorder="1"/>
    <xf numFmtId="0" fontId="2" fillId="3" borderId="6" xfId="0" applyFont="1" applyFill="1" applyBorder="1"/>
    <xf numFmtId="0" fontId="2" fillId="3" borderId="1" xfId="0" applyFont="1" applyFill="1" applyBorder="1"/>
    <xf numFmtId="22" fontId="5" fillId="3" borderId="1" xfId="0" applyNumberFormat="1" applyFont="1" applyFill="1" applyBorder="1"/>
    <xf numFmtId="22" fontId="5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6" fillId="4" borderId="1" xfId="0" applyFont="1" applyFill="1" applyBorder="1"/>
    <xf numFmtId="165" fontId="6" fillId="0" borderId="0" xfId="0" applyNumberFormat="1" applyFont="1"/>
    <xf numFmtId="0" fontId="7" fillId="0" borderId="0" xfId="0" applyFont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6" fillId="0" borderId="0" xfId="0" applyFont="1"/>
    <xf numFmtId="164" fontId="6" fillId="0" borderId="0" xfId="0" applyNumberFormat="1" applyFont="1"/>
    <xf numFmtId="0" fontId="8" fillId="0" borderId="0" xfId="0" applyFont="1"/>
    <xf numFmtId="0" fontId="9" fillId="0" borderId="0" xfId="0" applyFont="1"/>
    <xf numFmtId="0" fontId="9" fillId="0" borderId="7" xfId="0" applyFont="1" applyBorder="1"/>
    <xf numFmtId="0" fontId="6" fillId="3" borderId="1" xfId="0" applyFont="1" applyFill="1" applyBorder="1"/>
    <xf numFmtId="0" fontId="6" fillId="5" borderId="1" xfId="0" applyFont="1" applyFill="1" applyBorder="1"/>
    <xf numFmtId="0" fontId="6" fillId="3" borderId="1" xfId="0" applyFont="1" applyFill="1" applyBorder="1"/>
    <xf numFmtId="0" fontId="6" fillId="0" borderId="2" xfId="0" applyFont="1" applyBorder="1"/>
    <xf numFmtId="166" fontId="6" fillId="5" borderId="1" xfId="0" applyNumberFormat="1" applyFont="1" applyFill="1" applyBorder="1"/>
    <xf numFmtId="167" fontId="6" fillId="3" borderId="1" xfId="0" applyNumberFormat="1" applyFont="1" applyFill="1" applyBorder="1"/>
    <xf numFmtId="167" fontId="6" fillId="5" borderId="1" xfId="0" applyNumberFormat="1" applyFont="1" applyFill="1" applyBorder="1"/>
    <xf numFmtId="0" fontId="6" fillId="6" borderId="1" xfId="0" applyFont="1" applyFill="1" applyBorder="1"/>
    <xf numFmtId="167" fontId="6" fillId="0" borderId="0" xfId="0" applyNumberFormat="1" applyFont="1"/>
    <xf numFmtId="166" fontId="6" fillId="3" borderId="1" xfId="0" applyNumberFormat="1" applyFont="1" applyFill="1" applyBorder="1"/>
    <xf numFmtId="0" fontId="6" fillId="0" borderId="8" xfId="0" applyFont="1" applyBorder="1"/>
    <xf numFmtId="0" fontId="6" fillId="0" borderId="0" xfId="0" applyFont="1" applyAlignment="1">
      <alignment horizontal="left"/>
    </xf>
    <xf numFmtId="0" fontId="9" fillId="7" borderId="1" xfId="0" applyFont="1" applyFill="1" applyBorder="1"/>
    <xf numFmtId="0" fontId="9" fillId="7" borderId="9" xfId="0" applyFont="1" applyFill="1" applyBorder="1"/>
    <xf numFmtId="0" fontId="6" fillId="8" borderId="10" xfId="0" applyFont="1" applyFill="1" applyBorder="1"/>
    <xf numFmtId="0" fontId="6" fillId="9" borderId="11" xfId="0" applyFont="1" applyFill="1" applyBorder="1"/>
    <xf numFmtId="0" fontId="6" fillId="9" borderId="12" xfId="0" applyFont="1" applyFill="1" applyBorder="1"/>
    <xf numFmtId="0" fontId="6" fillId="9" borderId="10" xfId="0" applyFont="1" applyFill="1" applyBorder="1"/>
    <xf numFmtId="165" fontId="6" fillId="9" borderId="10" xfId="0" applyNumberFormat="1" applyFont="1" applyFill="1" applyBorder="1"/>
    <xf numFmtId="0" fontId="6" fillId="8" borderId="13" xfId="0" applyFont="1" applyFill="1" applyBorder="1"/>
    <xf numFmtId="0" fontId="6" fillId="8" borderId="10" xfId="0" applyFont="1" applyFill="1" applyBorder="1"/>
    <xf numFmtId="0" fontId="6" fillId="9" borderId="13" xfId="0" applyFont="1" applyFill="1" applyBorder="1"/>
    <xf numFmtId="0" fontId="6" fillId="9" borderId="10" xfId="0" applyFont="1" applyFill="1" applyBorder="1"/>
    <xf numFmtId="0" fontId="6" fillId="10" borderId="10" xfId="0" applyFont="1" applyFill="1" applyBorder="1"/>
    <xf numFmtId="0" fontId="6" fillId="0" borderId="14" xfId="0" applyFont="1" applyBorder="1"/>
    <xf numFmtId="0" fontId="6" fillId="0" borderId="15" xfId="0" applyFont="1" applyBorder="1"/>
    <xf numFmtId="0" fontId="6" fillId="0" borderId="14" xfId="0" applyFont="1" applyBorder="1"/>
    <xf numFmtId="0" fontId="9" fillId="7" borderId="11" xfId="0" applyFont="1" applyFill="1" applyBorder="1"/>
    <xf numFmtId="0" fontId="9" fillId="7" borderId="12" xfId="0" applyFont="1" applyFill="1" applyBorder="1"/>
    <xf numFmtId="165" fontId="9" fillId="7" borderId="12" xfId="0" applyNumberFormat="1" applyFont="1" applyFill="1" applyBorder="1"/>
    <xf numFmtId="165" fontId="9" fillId="7" borderId="12" xfId="0" applyNumberFormat="1" applyFont="1" applyFill="1" applyBorder="1"/>
    <xf numFmtId="0" fontId="9" fillId="7" borderId="12" xfId="0" applyFont="1" applyFill="1" applyBorder="1"/>
    <xf numFmtId="165" fontId="6" fillId="9" borderId="9" xfId="0" applyNumberFormat="1" applyFont="1" applyFill="1" applyBorder="1"/>
    <xf numFmtId="0" fontId="6" fillId="9" borderId="9" xfId="0" applyFont="1" applyFill="1" applyBorder="1"/>
    <xf numFmtId="0" fontId="9" fillId="11" borderId="1" xfId="0" applyFont="1" applyFill="1" applyBorder="1"/>
    <xf numFmtId="0" fontId="9" fillId="11" borderId="16" xfId="0" applyFont="1" applyFill="1" applyBorder="1"/>
    <xf numFmtId="0" fontId="6" fillId="5" borderId="17" xfId="0" applyFont="1" applyFill="1" applyBorder="1"/>
    <xf numFmtId="0" fontId="6" fillId="5" borderId="18" xfId="0" applyFont="1" applyFill="1" applyBorder="1"/>
    <xf numFmtId="0" fontId="6" fillId="0" borderId="19" xfId="0" applyFont="1" applyBorder="1"/>
    <xf numFmtId="0" fontId="6" fillId="0" borderId="20" xfId="0" applyFont="1" applyBorder="1"/>
    <xf numFmtId="0" fontId="6" fillId="4" borderId="17" xfId="0" applyFont="1" applyFill="1" applyBorder="1"/>
    <xf numFmtId="0" fontId="6" fillId="4" borderId="18" xfId="0" applyFont="1" applyFill="1" applyBorder="1"/>
  </cellXfs>
  <cellStyles count="1">
    <cellStyle name="Normal" xfId="0" builtinId="0"/>
  </cellStyles>
  <dxfs count="19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DC7BB2"/>
          <bgColor rgb="FFDC7BB2"/>
        </patternFill>
      </fill>
    </dxf>
    <dxf>
      <fill>
        <patternFill patternType="solid">
          <fgColor rgb="FFEDBDD8"/>
          <bgColor rgb="FFEDBD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C7BB2"/>
          <bgColor rgb="FFDC7BB2"/>
        </patternFill>
      </fill>
    </dxf>
    <dxf>
      <fill>
        <patternFill patternType="solid">
          <fgColor rgb="FFEDBDD8"/>
          <bgColor rgb="FFEDBDD8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C7BB2"/>
          <bgColor rgb="FFDC7BB2"/>
        </patternFill>
      </fill>
    </dxf>
    <dxf>
      <fill>
        <patternFill patternType="solid">
          <fgColor rgb="FFE9EBED"/>
          <bgColor rgb="FFE9EBED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DC7BB2"/>
          <bgColor rgb="FFDC7BB2"/>
        </patternFill>
      </fill>
    </dxf>
    <dxf>
      <fill>
        <patternFill patternType="solid">
          <fgColor rgb="FFE9EBED"/>
          <bgColor rgb="FFE9EBED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DC7BB2"/>
          <bgColor rgb="FFDC7BB2"/>
        </patternFill>
      </fill>
    </dxf>
    <dxf>
      <fill>
        <patternFill patternType="solid">
          <fgColor rgb="FFE9EBED"/>
          <bgColor rgb="FFE9EBED"/>
        </patternFill>
      </fill>
    </dxf>
  </dxfs>
  <tableStyles count="5">
    <tableStyle name="TEXT FXN-style" pivot="0" count="2" xr9:uid="{00000000-0011-0000-FFFF-FFFF00000000}">
      <tableStyleElement type="firstColumnStripe" dxfId="18"/>
      <tableStyleElement type="secondColumnStripe" dxfId="17"/>
    </tableStyle>
    <tableStyle name="AGG FXN-style" pivot="0" count="4" xr9:uid="{00000000-0011-0000-FFFF-FFFF01000000}">
      <tableStyleElement type="headerRow" dxfId="16"/>
      <tableStyleElement type="totalRow" dxfId="15"/>
      <tableStyleElement type="firstRowStripe" dxfId="14"/>
      <tableStyleElement type="secondRowStripe" dxfId="13"/>
    </tableStyle>
    <tableStyle name="COND FORMATTING AND DATA-style" pivot="0" count="3" xr9:uid="{00000000-0011-0000-FFFF-FFFF02000000}">
      <tableStyleElement type="headerRow" dxfId="12"/>
      <tableStyleElement type="firstRowStripe" dxfId="11"/>
      <tableStyleElement type="secondRowStripe" dxfId="10"/>
    </tableStyle>
    <tableStyle name="CONDITIONAL FXN-style" pivot="0" count="3" xr9:uid="{00000000-0011-0000-FFFF-FFFF03000000}">
      <tableStyleElement type="headerRow" dxfId="9"/>
      <tableStyleElement type="firstRowStripe" dxfId="8"/>
      <tableStyleElement type="secondRowStripe" dxfId="7"/>
    </tableStyle>
    <tableStyle name="PT AND PC-style" pivot="0" count="3" xr9:uid="{00000000-0011-0000-FFFF-FFFF04000000}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pivotCacheDefinition" Target="pivotCache/pivotCacheDefinition1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alcChain" Target="calcChain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customschemas.google.com/relationships/workbookmetadata" Target="metadata" /><Relationship Id="rId2" Type="http://schemas.openxmlformats.org/officeDocument/2006/relationships/worksheet" Target="worksheets/sheet2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revene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Sheet1!$B$3</c:f>
              <c:strCache>
                <c:ptCount val="1"/>
              </c:strCache>
            </c:strRef>
          </c:tx>
          <c:invertIfNegative val="1"/>
          <c:cat>
            <c:numRef>
              <c:f>Sheet1!$A$4:$A$14</c:f>
              <c:numCache>
                <c:formatCode>General</c:formatCode>
                <c:ptCount val="11"/>
              </c:numCache>
            </c:numRef>
          </c:cat>
          <c:val>
            <c:numRef>
              <c:f>Sheet1!$B$4:$B$14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0C55-024E-BEE7-DF2FAD889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4629008"/>
        <c:axId val="1405698445"/>
      </c:barChart>
      <c:catAx>
        <c:axId val="6946290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5698445"/>
        <c:crosses val="autoZero"/>
        <c:auto val="1"/>
        <c:lblAlgn val="ctr"/>
        <c:lblOffset val="100"/>
        <c:noMultiLvlLbl val="1"/>
      </c:catAx>
      <c:valAx>
        <c:axId val="140569844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69462900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419100</xdr:colOff>
      <xdr:row>13</xdr:row>
      <xdr:rowOff>85725</xdr:rowOff>
    </xdr:from>
    <xdr:ext cx="8172450" cy="2628900"/>
    <xdr:graphicFrame macro="">
      <xdr:nvGraphicFramePr>
        <xdr:cNvPr id="2025117381" name="Chart 1">
          <a:extLst>
            <a:ext uri="{FF2B5EF4-FFF2-40B4-BE49-F238E27FC236}">
              <a16:creationId xmlns:a16="http://schemas.microsoft.com/office/drawing/2014/main" id="{00000000-0008-0000-0700-0000C5D6B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76200</xdr:colOff>
      <xdr:row>19</xdr:row>
      <xdr:rowOff>133350</xdr:rowOff>
    </xdr:from>
    <xdr:ext cx="2600325" cy="1390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4050600" y="3089438"/>
          <a:ext cx="2590800" cy="1381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8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Timeline: Works in Excel 2013 or higher. Do not move or resize.</a:t>
          </a:r>
          <a:endParaRPr sz="1400"/>
        </a:p>
      </xdr:txBody>
    </xdr:sp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A1:E425" sheet="PT AND PC"/>
  </cacheSource>
  <cacheFields count="5">
    <cacheField name="Products" numFmtId="0">
      <sharedItems count="3">
        <s v="DAME"/>
        <s v="Techies Guide"/>
        <s v="12 Strategies"/>
      </sharedItems>
    </cacheField>
    <cacheField name="Transaction Date" numFmtId="0">
      <sharedItems containsSemiMixedTypes="0" containsString="0" containsNumber="1" containsInteger="1" count="56">
        <n v="45118"/>
        <n v="45107"/>
        <n v="45117"/>
        <n v="45116"/>
        <n v="45114"/>
        <n v="45112"/>
        <n v="45110"/>
        <n v="45109"/>
        <n v="45108"/>
        <n v="45093"/>
        <n v="45092"/>
        <n v="45091"/>
        <n v="45090"/>
        <n v="45089"/>
        <n v="45088"/>
        <n v="45062"/>
        <n v="45061"/>
        <n v="45060"/>
        <n v="45059"/>
        <n v="45058"/>
        <n v="45057"/>
        <n v="45056"/>
        <n v="45055"/>
        <n v="45054"/>
        <n v="45053"/>
        <n v="45052"/>
        <n v="45051"/>
        <n v="45049"/>
        <n v="45048"/>
        <n v="45047"/>
        <n v="45046"/>
        <n v="45045"/>
        <n v="45044"/>
        <n v="45043"/>
        <n v="45042"/>
        <n v="45041"/>
        <n v="45040"/>
        <n v="45037"/>
        <n v="45036"/>
        <n v="45034"/>
        <n v="45033"/>
        <n v="45032"/>
        <n v="45031"/>
        <n v="45030"/>
        <n v="45029"/>
        <n v="45028"/>
        <n v="45027"/>
        <n v="45021"/>
        <n v="45026"/>
        <n v="45025"/>
        <n v="45023"/>
        <n v="45022"/>
        <n v="45020"/>
        <n v="45019"/>
        <n v="45018"/>
        <n v="45014"/>
      </sharedItems>
    </cacheField>
    <cacheField name="Currency" numFmtId="0">
      <sharedItems count="9">
        <s v="NGN"/>
        <s v="USD"/>
        <s v="XAF"/>
        <s v="GHS"/>
        <s v="KES"/>
        <s v="GBP"/>
        <s v="ZAR"/>
        <s v="TZS"/>
        <s v="RWF"/>
      </sharedItems>
    </cacheField>
    <cacheField name="REVENUE" numFmtId="0">
      <sharedItems containsSemiMixedTypes="0" containsString="0" containsNumber="1" count="51">
        <n v="5500"/>
        <n v="15"/>
        <n v="4239.28"/>
        <n v="59"/>
        <n v="1058"/>
        <n v="4500.1000000000004"/>
        <n v="12.27"/>
        <n v="9"/>
        <n v="1255"/>
        <n v="4.1900000000000004"/>
        <n v="2500"/>
        <n v="3500"/>
        <n v="9.24"/>
        <n v="9.3000000000000007"/>
        <n v="7171.38"/>
        <n v="14"/>
        <n v="1691"/>
        <n v="154"/>
        <n v="229.93"/>
        <n v="9.32"/>
        <n v="9.23"/>
        <n v="9.2200000000000006"/>
        <n v="156"/>
        <n v="28162"/>
        <n v="9.1999999999999993"/>
        <n v="155"/>
        <n v="9.31"/>
        <n v="1690"/>
        <n v="157"/>
        <n v="9.3800000000000008"/>
        <n v="1683"/>
        <n v="213.78"/>
        <n v="9.42"/>
        <n v="1658"/>
        <n v="1672"/>
        <n v="4.7"/>
        <n v="1661"/>
        <n v="141"/>
        <n v="142"/>
        <n v="9.3699999999999992"/>
        <n v="13200.02"/>
        <n v="9.35"/>
        <n v="1657"/>
        <n v="9.34"/>
        <n v="147"/>
        <n v="9.48"/>
        <n v="12"/>
        <n v="6500"/>
        <n v="20"/>
        <n v="1648"/>
        <n v="153"/>
      </sharedItems>
    </cacheField>
    <cacheField name="Total Revenue" numFmtId="0">
      <sharedItems containsSemiMixedTypes="0" containsString="0" containsNumber="1" count="51">
        <n v="5500"/>
        <n v="15000"/>
        <n v="6782.848"/>
        <n v="4720"/>
        <n v="5713.2000000000007"/>
        <n v="4500.1000000000004"/>
        <n v="12270"/>
        <n v="9000"/>
        <n v="6777"/>
        <n v="5028.0000000000009"/>
        <n v="2500"/>
        <n v="3500"/>
        <n v="11088"/>
        <n v="11160"/>
        <n v="11474.208000000001"/>
        <n v="14000"/>
        <n v="9131.4000000000015"/>
        <n v="12320"/>
        <n v="3448.9500000000003"/>
        <n v="11184"/>
        <n v="11076"/>
        <n v="11064"/>
        <n v="12480"/>
        <n v="5632.4000000000005"/>
        <n v="11040"/>
        <n v="12400"/>
        <n v="11172"/>
        <n v="9126"/>
        <n v="12560"/>
        <n v="11256.000000000002"/>
        <n v="9088.2000000000007"/>
        <n v="3206.7"/>
        <n v="11304"/>
        <n v="8953.2000000000007"/>
        <n v="9028.8000000000011"/>
        <n v="4700"/>
        <n v="8969.4000000000015"/>
        <n v="11280"/>
        <n v="11360"/>
        <n v="11243.999999999998"/>
        <n v="5280.0080000000007"/>
        <n v="11220"/>
        <n v="8947.8000000000011"/>
        <n v="11208"/>
        <n v="11760"/>
        <n v="11376"/>
        <n v="12000"/>
        <n v="6500"/>
        <n v="24000"/>
        <n v="8899.2000000000007"/>
        <n v="1224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Sheet1" cacheId="0" applyNumberFormats="0" applyBorderFormats="0" applyFontFormats="0" applyPatternFormats="0" applyAlignmentFormats="0" applyWidthHeightFormats="0" dataCaption="" compact="0" compactData="0">
  <location ref="A5:B15" firstHeaderRow="0" firstDataRow="0" firstDataCol="0" rowPageCount="1" colPageCount="1"/>
  <pivotFields count="5">
    <pivotField name="Products" axis="axisPage" compact="0" outline="0" multipleItemSelectionAllowed="1" showAll="0">
      <items count="4">
        <item x="0"/>
        <item x="1"/>
        <item x="2"/>
        <item t="default"/>
      </items>
    </pivotField>
    <pivotField name="Transaction Date" compact="0" outline="0" multipleItemSelectionAllowed="1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urrency" axis="axisRow" compact="0" outline="0" multipleItemSelectionAllowed="1" showAll="0" sortType="ascending">
      <items count="10">
        <item x="5"/>
        <item x="3"/>
        <item x="4"/>
        <item x="0"/>
        <item x="8"/>
        <item x="7"/>
        <item x="1"/>
        <item x="2"/>
        <item x="6"/>
        <item t="default"/>
      </items>
    </pivotField>
    <pivotField name="REVENUE" compact="0" outline="0" multipleItemSelectionAllowe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Total Revenue" compact="0" outline="0" multipleItemSelectionAllowe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 count="1">
    <field x="2"/>
  </rowFields>
  <pageFields count="1">
    <pageField fld="0" hier="0"/>
  </page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00" headerRowCount="0">
  <tableColumns count="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</tableColumns>
  <tableStyleInfo name="TEXT FXN-style" showFirstColumn="1" showLastColumn="1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425" totalsRowCount="1">
  <tableColumns count="4">
    <tableColumn id="1" xr3:uid="{00000000-0010-0000-0100-000001000000}" name="Products"/>
    <tableColumn id="2" xr3:uid="{00000000-0010-0000-0100-000002000000}" name="Transaction Date"/>
    <tableColumn id="3" xr3:uid="{00000000-0010-0000-0100-000003000000}" name="Currency"/>
    <tableColumn id="4" xr3:uid="{00000000-0010-0000-0100-000004000000}" name="Revenue" totalsRowFunction="custom"/>
  </tableColumns>
  <tableStyleInfo name="AGG FX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F19">
  <tableColumns count="6">
    <tableColumn id="1" xr3:uid="{00000000-0010-0000-0200-000001000000}" name="Make"/>
    <tableColumn id="2" xr3:uid="{00000000-0010-0000-0200-000002000000}" name="Color"/>
    <tableColumn id="3" xr3:uid="{00000000-0010-0000-0200-000003000000}" name="Mileage"/>
    <tableColumn id="4" xr3:uid="{00000000-0010-0000-0200-000004000000}" name="Price"/>
    <tableColumn id="5" xr3:uid="{00000000-0010-0000-0200-000005000000}" name="Cost"/>
    <tableColumn id="6" xr3:uid="{00000000-0010-0000-0200-000006000000}" name="Profit"/>
  </tableColumns>
  <tableStyleInfo name="COND FORMATTING AND DATA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:D93">
  <tableColumns count="4">
    <tableColumn id="1" xr3:uid="{00000000-0010-0000-0300-000001000000}" name="Products"/>
    <tableColumn id="2" xr3:uid="{00000000-0010-0000-0300-000002000000}" name="Transaction Date"/>
    <tableColumn id="3" xr3:uid="{00000000-0010-0000-0300-000003000000}" name="Currency"/>
    <tableColumn id="4" xr3:uid="{00000000-0010-0000-0300-000004000000}" name="Revenue"/>
  </tableColumns>
  <tableStyleInfo name="CONDITIONAL FX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E425">
  <tableColumns count="5">
    <tableColumn id="1" xr3:uid="{00000000-0010-0000-0400-000001000000}" name="Products"/>
    <tableColumn id="2" xr3:uid="{00000000-0010-0000-0400-000002000000}" name="Transaction Date"/>
    <tableColumn id="3" xr3:uid="{00000000-0010-0000-0400-000003000000}" name="Currency"/>
    <tableColumn id="4" xr3:uid="{00000000-0010-0000-0400-000004000000}" name="REVENUE"/>
    <tableColumn id="5" xr3:uid="{00000000-0010-0000-0400-000005000000}" name="Total Revenue"/>
  </tableColumns>
  <tableStyleInfo name="PT AND PC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82828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25" defaultRowHeight="15" customHeight="1" x14ac:dyDescent="0.15"/>
  <cols>
    <col min="1" max="1" width="109.109375" customWidth="1"/>
    <col min="2" max="26" width="8.94921875" customWidth="1"/>
  </cols>
  <sheetData>
    <row r="1" spans="1:26" ht="16.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2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2">
      <c r="A8" s="1" t="s">
        <v>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1" t="s">
        <v>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Z1000"/>
  <sheetViews>
    <sheetView workbookViewId="0"/>
  </sheetViews>
  <sheetFormatPr defaultColWidth="12.625" defaultRowHeight="15" customHeight="1" x14ac:dyDescent="0.15"/>
  <cols>
    <col min="1" max="1" width="60.19140625" customWidth="1"/>
    <col min="2" max="2" width="17.0390625" customWidth="1"/>
    <col min="3" max="3" width="8.94921875" customWidth="1"/>
    <col min="4" max="4" width="6.86328125" customWidth="1"/>
    <col min="5" max="5" width="7.84375" customWidth="1"/>
    <col min="6" max="6" width="15.56640625" customWidth="1"/>
    <col min="7" max="7" width="9.31640625" customWidth="1"/>
    <col min="8" max="8" width="10.41796875" customWidth="1"/>
    <col min="9" max="9" width="2.81640625" customWidth="1"/>
    <col min="10" max="10" width="10.91015625" customWidth="1"/>
    <col min="11" max="11" width="6.25" customWidth="1"/>
    <col min="12" max="12" width="7.35546875" customWidth="1"/>
    <col min="13" max="13" width="5.390625" customWidth="1"/>
    <col min="14" max="14" width="10.54296875" customWidth="1"/>
    <col min="15" max="15" width="5.515625" customWidth="1"/>
    <col min="16" max="16" width="7.84375" customWidth="1"/>
    <col min="17" max="17" width="7.72265625" customWidth="1"/>
    <col min="18" max="18" width="9.0703125" customWidth="1"/>
    <col min="19" max="19" width="8.703125" customWidth="1"/>
    <col min="20" max="20" width="5.76171875" customWidth="1"/>
    <col min="21" max="21" width="6.6171875" customWidth="1"/>
    <col min="22" max="22" width="7.72265625" customWidth="1"/>
    <col min="23" max="23" width="12.74609375" customWidth="1"/>
    <col min="24" max="24" width="16.546875" customWidth="1"/>
    <col min="25" max="25" width="14.5859375" customWidth="1"/>
    <col min="26" max="26" width="8.578125" customWidth="1"/>
  </cols>
  <sheetData>
    <row r="1" spans="1:24" x14ac:dyDescent="0.2">
      <c r="A1" s="3" t="s">
        <v>7</v>
      </c>
      <c r="B1" s="3" t="s">
        <v>8</v>
      </c>
      <c r="C1" s="3" t="s">
        <v>9</v>
      </c>
      <c r="D1" s="3" t="s">
        <v>10</v>
      </c>
      <c r="E1" s="4"/>
      <c r="F1" s="5" t="s">
        <v>11</v>
      </c>
      <c r="G1" s="5" t="s">
        <v>12</v>
      </c>
      <c r="H1" s="5" t="s">
        <v>13</v>
      </c>
      <c r="I1" s="6" t="s">
        <v>14</v>
      </c>
      <c r="J1" s="4" t="s">
        <v>15</v>
      </c>
      <c r="K1" s="7" t="s">
        <v>16</v>
      </c>
      <c r="L1" s="7" t="s">
        <v>17</v>
      </c>
      <c r="M1" s="7" t="s">
        <v>18</v>
      </c>
      <c r="N1" s="7" t="s">
        <v>19</v>
      </c>
      <c r="O1" s="7" t="s">
        <v>20</v>
      </c>
      <c r="P1" s="7" t="s">
        <v>21</v>
      </c>
      <c r="Q1" s="7" t="s">
        <v>22</v>
      </c>
      <c r="R1" s="7" t="s">
        <v>23</v>
      </c>
      <c r="S1" s="7" t="s">
        <v>24</v>
      </c>
      <c r="T1" s="8" t="s">
        <v>25</v>
      </c>
      <c r="U1" s="7" t="s">
        <v>26</v>
      </c>
      <c r="V1" s="7" t="s">
        <v>27</v>
      </c>
      <c r="W1" s="7" t="s">
        <v>28</v>
      </c>
      <c r="X1" s="7"/>
    </row>
    <row r="2" spans="1:24" x14ac:dyDescent="0.2">
      <c r="A2" s="9" t="s">
        <v>29</v>
      </c>
      <c r="B2" s="10">
        <v>45230.688194444403</v>
      </c>
      <c r="C2" s="9" t="s">
        <v>30</v>
      </c>
      <c r="D2" s="9">
        <v>398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24" x14ac:dyDescent="0.2">
      <c r="A3" s="9" t="s">
        <v>31</v>
      </c>
      <c r="B3" s="10">
        <v>45056.384722222203</v>
      </c>
      <c r="C3" s="9" t="s">
        <v>30</v>
      </c>
      <c r="D3" s="9">
        <v>156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24" x14ac:dyDescent="0.2">
      <c r="A4" s="9" t="s">
        <v>32</v>
      </c>
      <c r="B4" s="10">
        <v>45060.965972222199</v>
      </c>
      <c r="C4" s="9" t="s">
        <v>30</v>
      </c>
      <c r="D4" s="9">
        <v>154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4" x14ac:dyDescent="0.2">
      <c r="A5" s="9" t="s">
        <v>32</v>
      </c>
      <c r="B5" s="10">
        <v>45075.895138888904</v>
      </c>
      <c r="C5" s="9" t="s">
        <v>30</v>
      </c>
      <c r="D5" s="9">
        <v>147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4" x14ac:dyDescent="0.2">
      <c r="A6" s="9" t="s">
        <v>32</v>
      </c>
      <c r="B6" s="10">
        <v>45186.813194444403</v>
      </c>
      <c r="C6" s="9" t="s">
        <v>30</v>
      </c>
      <c r="D6" s="9">
        <v>99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4" x14ac:dyDescent="0.2">
      <c r="A7" s="9" t="s">
        <v>32</v>
      </c>
      <c r="B7" s="10">
        <v>45107.724305555603</v>
      </c>
      <c r="C7" s="9" t="s">
        <v>30</v>
      </c>
      <c r="D7" s="9">
        <v>92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4" x14ac:dyDescent="0.2">
      <c r="A8" s="9" t="s">
        <v>32</v>
      </c>
      <c r="B8" s="10">
        <v>45106.536111111098</v>
      </c>
      <c r="C8" s="9" t="s">
        <v>30</v>
      </c>
      <c r="D8" s="9">
        <v>91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4" x14ac:dyDescent="0.2">
      <c r="A9" s="9" t="s">
        <v>32</v>
      </c>
      <c r="B9" s="10">
        <v>45129.3305555556</v>
      </c>
      <c r="C9" s="9" t="s">
        <v>30</v>
      </c>
      <c r="D9" s="9">
        <v>91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4" x14ac:dyDescent="0.2">
      <c r="A10" s="9" t="s">
        <v>32</v>
      </c>
      <c r="B10" s="10">
        <v>45135.765972222202</v>
      </c>
      <c r="C10" s="9" t="s">
        <v>30</v>
      </c>
      <c r="D10" s="9">
        <v>86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4" x14ac:dyDescent="0.2">
      <c r="A11" s="9" t="s">
        <v>32</v>
      </c>
      <c r="B11" s="10">
        <v>45142.959027777797</v>
      </c>
      <c r="C11" s="9" t="s">
        <v>30</v>
      </c>
      <c r="D11" s="9">
        <v>85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 x14ac:dyDescent="0.2">
      <c r="A12" s="9" t="s">
        <v>32</v>
      </c>
      <c r="B12" s="10">
        <v>45142.425694444399</v>
      </c>
      <c r="C12" s="9" t="s">
        <v>30</v>
      </c>
      <c r="D12" s="9">
        <v>85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4" x14ac:dyDescent="0.2">
      <c r="A13" s="9" t="s">
        <v>32</v>
      </c>
      <c r="B13" s="10">
        <v>45160.954861111102</v>
      </c>
      <c r="C13" s="9" t="s">
        <v>30</v>
      </c>
      <c r="D13" s="9">
        <v>85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4" x14ac:dyDescent="0.2">
      <c r="A14" s="9" t="s">
        <v>32</v>
      </c>
      <c r="B14" s="10">
        <v>45101.582638888904</v>
      </c>
      <c r="C14" s="9" t="s">
        <v>30</v>
      </c>
      <c r="D14" s="9">
        <v>84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4" x14ac:dyDescent="0.2">
      <c r="A15" s="9" t="s">
        <v>32</v>
      </c>
      <c r="B15" s="10">
        <v>45174.793055555601</v>
      </c>
      <c r="C15" s="9" t="s">
        <v>30</v>
      </c>
      <c r="D15" s="9">
        <v>83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4" x14ac:dyDescent="0.2">
      <c r="A16" s="9" t="s">
        <v>32</v>
      </c>
      <c r="B16" s="10">
        <v>45174.404166666704</v>
      </c>
      <c r="C16" s="9" t="s">
        <v>30</v>
      </c>
      <c r="D16" s="9">
        <v>83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6" x14ac:dyDescent="0.2">
      <c r="A17" s="9" t="s">
        <v>32</v>
      </c>
      <c r="B17" s="10">
        <v>45173.576388888898</v>
      </c>
      <c r="C17" s="9" t="s">
        <v>30</v>
      </c>
      <c r="D17" s="9">
        <v>83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6" x14ac:dyDescent="0.2">
      <c r="A18" s="9" t="s">
        <v>32</v>
      </c>
      <c r="B18" s="10">
        <v>45166.745833333298</v>
      </c>
      <c r="C18" s="9" t="s">
        <v>30</v>
      </c>
      <c r="D18" s="9">
        <v>82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6" x14ac:dyDescent="0.2">
      <c r="A19" s="9" t="s">
        <v>32</v>
      </c>
      <c r="B19" s="10">
        <v>45182.671527777798</v>
      </c>
      <c r="C19" s="9" t="s">
        <v>30</v>
      </c>
      <c r="D19" s="9">
        <v>82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6" x14ac:dyDescent="0.2">
      <c r="A20" s="9" t="s">
        <v>32</v>
      </c>
      <c r="B20" s="10">
        <v>45169.138888888898</v>
      </c>
      <c r="C20" s="9" t="s">
        <v>30</v>
      </c>
      <c r="D20" s="9">
        <v>81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6" ht="15.75" customHeight="1" x14ac:dyDescent="0.2">
      <c r="A21" s="9" t="s">
        <v>32</v>
      </c>
      <c r="B21" s="10">
        <v>45152.762499999997</v>
      </c>
      <c r="C21" s="9" t="s">
        <v>30</v>
      </c>
      <c r="D21" s="9">
        <v>80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6" ht="15.75" customHeight="1" x14ac:dyDescent="0.2">
      <c r="A22" s="9" t="s">
        <v>32</v>
      </c>
      <c r="B22" s="10">
        <v>45206.661111111098</v>
      </c>
      <c r="C22" s="9" t="s">
        <v>30</v>
      </c>
      <c r="D22" s="9">
        <v>73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6" ht="15.75" customHeight="1" x14ac:dyDescent="0.2">
      <c r="A23" s="9" t="s">
        <v>32</v>
      </c>
      <c r="B23" s="10">
        <v>45230.582638888904</v>
      </c>
      <c r="C23" s="9" t="s">
        <v>33</v>
      </c>
      <c r="D23" s="9">
        <v>69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6" ht="15.75" customHeight="1" x14ac:dyDescent="0.2">
      <c r="A24" s="9" t="s">
        <v>34</v>
      </c>
      <c r="B24" s="10">
        <v>45107.730555555601</v>
      </c>
      <c r="C24" s="9" t="s">
        <v>33</v>
      </c>
      <c r="D24" s="9">
        <v>59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">
      <c r="A25" s="9" t="s">
        <v>32</v>
      </c>
      <c r="B25" s="10">
        <v>45173.511805555601</v>
      </c>
      <c r="C25" s="9" t="s">
        <v>30</v>
      </c>
      <c r="D25" s="9">
        <v>42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">
      <c r="A26" s="9" t="s">
        <v>32</v>
      </c>
      <c r="B26" s="10">
        <v>45170.59375</v>
      </c>
      <c r="C26" s="9" t="s">
        <v>30</v>
      </c>
      <c r="D26" s="9">
        <v>41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">
      <c r="A27" s="9" t="s">
        <v>32</v>
      </c>
      <c r="B27" s="10">
        <v>45170.461805555598</v>
      </c>
      <c r="C27" s="9" t="s">
        <v>30</v>
      </c>
      <c r="D27" s="9">
        <v>41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">
      <c r="A28" s="9" t="s">
        <v>32</v>
      </c>
      <c r="B28" s="10">
        <v>45167.710416666698</v>
      </c>
      <c r="C28" s="9" t="s">
        <v>30</v>
      </c>
      <c r="D28" s="9">
        <v>41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">
      <c r="A29" s="9" t="s">
        <v>32</v>
      </c>
      <c r="B29" s="10">
        <v>45066.986111111102</v>
      </c>
      <c r="C29" s="9" t="s">
        <v>33</v>
      </c>
      <c r="D29" s="9">
        <v>17.84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">
      <c r="A30" s="9" t="s">
        <v>32</v>
      </c>
      <c r="B30" s="10">
        <v>45066.881944444402</v>
      </c>
      <c r="C30" s="9" t="s">
        <v>33</v>
      </c>
      <c r="D30" s="9">
        <v>17.84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">
      <c r="A31" s="9" t="s">
        <v>32</v>
      </c>
      <c r="B31" s="10">
        <v>45063.831944444399</v>
      </c>
      <c r="C31" s="9" t="s">
        <v>33</v>
      </c>
      <c r="D31" s="9">
        <v>17.829999999999998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">
      <c r="A32" s="9" t="s">
        <v>32</v>
      </c>
      <c r="B32" s="10">
        <v>45063.498611111099</v>
      </c>
      <c r="C32" s="9" t="s">
        <v>33</v>
      </c>
      <c r="D32" s="9">
        <v>17.829999999999998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">
      <c r="A33" s="9" t="s">
        <v>32</v>
      </c>
      <c r="B33" s="10">
        <v>45075.938194444403</v>
      </c>
      <c r="C33" s="9" t="s">
        <v>33</v>
      </c>
      <c r="D33" s="9">
        <v>9.41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">
      <c r="A34" s="9" t="s">
        <v>32</v>
      </c>
      <c r="B34" s="10">
        <v>45080.548611111102</v>
      </c>
      <c r="C34" s="9" t="s">
        <v>33</v>
      </c>
      <c r="D34" s="9">
        <v>9.33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">
      <c r="A35" s="9" t="s">
        <v>32</v>
      </c>
      <c r="B35" s="10">
        <v>45059.820138888899</v>
      </c>
      <c r="C35" s="9" t="s">
        <v>33</v>
      </c>
      <c r="D35" s="9">
        <v>9.32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">
      <c r="A36" s="9" t="s">
        <v>32</v>
      </c>
      <c r="B36" s="10">
        <v>45059.643750000003</v>
      </c>
      <c r="C36" s="9" t="s">
        <v>33</v>
      </c>
      <c r="D36" s="9">
        <v>9.32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">
      <c r="A37" s="9" t="s">
        <v>32</v>
      </c>
      <c r="B37" s="10">
        <v>45081.909722222197</v>
      </c>
      <c r="C37" s="9" t="s">
        <v>33</v>
      </c>
      <c r="D37" s="9">
        <v>9.31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">
      <c r="A38" s="9" t="s">
        <v>32</v>
      </c>
      <c r="B38" s="10">
        <v>45062.482638888898</v>
      </c>
      <c r="C38" s="9" t="s">
        <v>33</v>
      </c>
      <c r="D38" s="9">
        <v>9.3000000000000007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">
      <c r="A39" s="9" t="s">
        <v>32</v>
      </c>
      <c r="B39" s="10">
        <v>45061.841666666704</v>
      </c>
      <c r="C39" s="9" t="s">
        <v>33</v>
      </c>
      <c r="D39" s="9">
        <v>9.3000000000000007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">
      <c r="A40" s="9" t="s">
        <v>32</v>
      </c>
      <c r="B40" s="10">
        <v>45088.724999999999</v>
      </c>
      <c r="C40" s="9" t="s">
        <v>33</v>
      </c>
      <c r="D40" s="9">
        <v>9.24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">
      <c r="A41" s="9" t="s">
        <v>32</v>
      </c>
      <c r="B41" s="10">
        <v>45019.859027777798</v>
      </c>
      <c r="C41" s="9" t="s">
        <v>33</v>
      </c>
      <c r="D41" s="9">
        <v>9.48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">
      <c r="A42" s="9" t="s">
        <v>32</v>
      </c>
      <c r="B42" s="10">
        <v>45019.779166666704</v>
      </c>
      <c r="C42" s="9" t="s">
        <v>33</v>
      </c>
      <c r="D42" s="9">
        <v>9.48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">
      <c r="A43" s="9" t="s">
        <v>32</v>
      </c>
      <c r="B43" s="10">
        <v>45019.7368055556</v>
      </c>
      <c r="C43" s="9" t="s">
        <v>33</v>
      </c>
      <c r="D43" s="9">
        <v>9.48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">
      <c r="A44" s="9" t="s">
        <v>32</v>
      </c>
      <c r="B44" s="10">
        <v>45019.670138888898</v>
      </c>
      <c r="C44" s="9" t="s">
        <v>33</v>
      </c>
      <c r="D44" s="9">
        <v>9.48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">
      <c r="A45" s="9" t="s">
        <v>32</v>
      </c>
      <c r="B45" s="10">
        <v>45019.522916666698</v>
      </c>
      <c r="C45" s="9" t="s">
        <v>33</v>
      </c>
      <c r="D45" s="9">
        <v>9.48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">
      <c r="A46" s="9" t="s">
        <v>32</v>
      </c>
      <c r="B46" s="10">
        <v>45019.482638888898</v>
      </c>
      <c r="C46" s="9" t="s">
        <v>33</v>
      </c>
      <c r="D46" s="9">
        <v>9.48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">
      <c r="A47" s="9" t="s">
        <v>32</v>
      </c>
      <c r="B47" s="10">
        <v>45032.8305555556</v>
      </c>
      <c r="C47" s="9" t="s">
        <v>33</v>
      </c>
      <c r="D47" s="9">
        <v>9.42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">
      <c r="A48" s="9" t="s">
        <v>32</v>
      </c>
      <c r="B48" s="10">
        <v>45040.878472222197</v>
      </c>
      <c r="C48" s="9" t="s">
        <v>33</v>
      </c>
      <c r="D48" s="9">
        <v>9.3800000000000008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">
      <c r="A49" s="9" t="s">
        <v>32</v>
      </c>
      <c r="B49" s="10">
        <v>45028.576388888898</v>
      </c>
      <c r="C49" s="9" t="s">
        <v>33</v>
      </c>
      <c r="D49" s="9">
        <v>9.3800000000000008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">
      <c r="A50" s="9" t="s">
        <v>32</v>
      </c>
      <c r="B50" s="10">
        <v>45020.831250000003</v>
      </c>
      <c r="C50" s="9" t="s">
        <v>33</v>
      </c>
      <c r="D50" s="9">
        <v>9.3800000000000008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">
      <c r="A51" s="9" t="s">
        <v>32</v>
      </c>
      <c r="B51" s="10">
        <v>45020.578472222202</v>
      </c>
      <c r="C51" s="9" t="s">
        <v>33</v>
      </c>
      <c r="D51" s="9">
        <v>9.3800000000000008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">
      <c r="A52" s="9" t="s">
        <v>32</v>
      </c>
      <c r="B52" s="10">
        <v>45023.716666666704</v>
      </c>
      <c r="C52" s="9" t="s">
        <v>33</v>
      </c>
      <c r="D52" s="9">
        <v>9.3699999999999992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">
      <c r="A53" s="9" t="s">
        <v>32</v>
      </c>
      <c r="B53" s="10">
        <v>45022.786111111098</v>
      </c>
      <c r="C53" s="9" t="s">
        <v>33</v>
      </c>
      <c r="D53" s="9">
        <v>9.35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">
      <c r="A54" s="9" t="s">
        <v>32</v>
      </c>
      <c r="B54" s="10">
        <v>45021.973611111098</v>
      </c>
      <c r="C54" s="9" t="s">
        <v>33</v>
      </c>
      <c r="D54" s="9">
        <v>9.34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">
      <c r="A55" s="9" t="s">
        <v>32</v>
      </c>
      <c r="B55" s="10">
        <v>45021.720833333296</v>
      </c>
      <c r="C55" s="9" t="s">
        <v>33</v>
      </c>
      <c r="D55" s="9">
        <v>9.34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">
      <c r="A56" s="9" t="s">
        <v>32</v>
      </c>
      <c r="B56" s="10">
        <v>45021.359722222202</v>
      </c>
      <c r="C56" s="9" t="s">
        <v>33</v>
      </c>
      <c r="D56" s="9">
        <v>9.34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">
      <c r="A57" s="9" t="s">
        <v>32</v>
      </c>
      <c r="B57" s="10">
        <v>45031.945833333302</v>
      </c>
      <c r="C57" s="9" t="s">
        <v>33</v>
      </c>
      <c r="D57" s="9">
        <v>9.31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">
      <c r="A58" s="9" t="s">
        <v>32</v>
      </c>
      <c r="B58" s="10">
        <v>45031.6027777778</v>
      </c>
      <c r="C58" s="9" t="s">
        <v>33</v>
      </c>
      <c r="D58" s="9">
        <v>9.31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">
      <c r="A59" s="9" t="s">
        <v>32</v>
      </c>
      <c r="B59" s="10">
        <v>45025.057638888902</v>
      </c>
      <c r="C59" s="9" t="s">
        <v>33</v>
      </c>
      <c r="D59" s="9">
        <v>9.3000000000000007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">
      <c r="A60" s="9" t="s">
        <v>32</v>
      </c>
      <c r="B60" s="10">
        <v>45053.784722222197</v>
      </c>
      <c r="C60" s="9" t="s">
        <v>33</v>
      </c>
      <c r="D60" s="9">
        <v>9.1999999999999993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">
      <c r="A61" s="9" t="s">
        <v>32</v>
      </c>
      <c r="B61" s="10">
        <v>45053.778472222199</v>
      </c>
      <c r="C61" s="9" t="s">
        <v>33</v>
      </c>
      <c r="D61" s="9">
        <v>9.1999999999999993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">
      <c r="A62" s="9" t="s">
        <v>32</v>
      </c>
      <c r="B62" s="10">
        <v>45051.823611111096</v>
      </c>
      <c r="C62" s="9" t="s">
        <v>33</v>
      </c>
      <c r="D62" s="9">
        <v>9.1999999999999993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">
      <c r="A63" s="9" t="s">
        <v>32</v>
      </c>
      <c r="B63" s="10">
        <v>45231.305555555598</v>
      </c>
      <c r="C63" s="9" t="s">
        <v>30</v>
      </c>
      <c r="D63" s="9">
        <v>8.51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">
      <c r="A64" s="9" t="s">
        <v>32</v>
      </c>
      <c r="B64" s="10">
        <v>45221.809027777803</v>
      </c>
      <c r="C64" s="9" t="s">
        <v>33</v>
      </c>
      <c r="D64" s="9">
        <v>8.51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">
      <c r="A65" s="9" t="s">
        <v>32</v>
      </c>
      <c r="B65" s="10">
        <v>45202.501388888901</v>
      </c>
      <c r="C65" s="9" t="s">
        <v>35</v>
      </c>
      <c r="D65" s="9">
        <v>8.51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">
      <c r="A66" s="9" t="s">
        <v>32</v>
      </c>
      <c r="B66" s="10">
        <v>45199.494444444397</v>
      </c>
      <c r="C66" s="9" t="s">
        <v>33</v>
      </c>
      <c r="D66" s="9">
        <v>8.51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">
      <c r="A67" s="9" t="s">
        <v>32</v>
      </c>
      <c r="B67" s="10">
        <v>45199.0222222222</v>
      </c>
      <c r="C67" s="9" t="s">
        <v>33</v>
      </c>
      <c r="D67" s="9">
        <v>8.51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">
      <c r="A68" s="9" t="s">
        <v>32</v>
      </c>
      <c r="B68" s="10">
        <v>45192.578472222202</v>
      </c>
      <c r="C68" s="9" t="s">
        <v>33</v>
      </c>
      <c r="D68" s="9">
        <v>8.51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">
      <c r="A69" s="9" t="s">
        <v>32</v>
      </c>
      <c r="B69" s="10">
        <v>45186.75</v>
      </c>
      <c r="C69" s="9" t="s">
        <v>33</v>
      </c>
      <c r="D69" s="9">
        <v>8.51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">
      <c r="A70" s="9" t="s">
        <v>32</v>
      </c>
      <c r="B70" s="10">
        <v>45169.777083333298</v>
      </c>
      <c r="C70" s="9" t="s">
        <v>33</v>
      </c>
      <c r="D70" s="9">
        <v>8.51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">
      <c r="A71" s="9" t="s">
        <v>32</v>
      </c>
      <c r="B71" s="10">
        <v>45168.906944444403</v>
      </c>
      <c r="C71" s="9" t="s">
        <v>33</v>
      </c>
      <c r="D71" s="9">
        <v>8.51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">
      <c r="A72" s="9" t="s">
        <v>32</v>
      </c>
      <c r="B72" s="10">
        <v>45168.7055555556</v>
      </c>
      <c r="C72" s="9" t="s">
        <v>33</v>
      </c>
      <c r="D72" s="9">
        <v>8.51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">
      <c r="A73" s="9" t="s">
        <v>32</v>
      </c>
      <c r="B73" s="10">
        <v>45161.786805555603</v>
      </c>
      <c r="C73" s="9" t="s">
        <v>33</v>
      </c>
      <c r="D73" s="9">
        <v>8.51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">
      <c r="A74" s="9" t="s">
        <v>32</v>
      </c>
      <c r="B74" s="10">
        <v>45161.5180555556</v>
      </c>
      <c r="C74" s="9" t="s">
        <v>33</v>
      </c>
      <c r="D74" s="9">
        <v>8.51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">
      <c r="A75" s="9" t="s">
        <v>32</v>
      </c>
      <c r="B75" s="10">
        <v>45153.277083333298</v>
      </c>
      <c r="C75" s="9" t="s">
        <v>33</v>
      </c>
      <c r="D75" s="9">
        <v>8.51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">
      <c r="A76" s="9" t="s">
        <v>32</v>
      </c>
      <c r="B76" s="10">
        <v>45152.039583333302</v>
      </c>
      <c r="C76" s="9" t="s">
        <v>33</v>
      </c>
      <c r="D76" s="9">
        <v>8.51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">
      <c r="A77" s="9" t="s">
        <v>32</v>
      </c>
      <c r="B77" s="10">
        <v>45151.542361111096</v>
      </c>
      <c r="C77" s="9" t="s">
        <v>33</v>
      </c>
      <c r="D77" s="9">
        <v>8.51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">
      <c r="A78" s="9" t="s">
        <v>32</v>
      </c>
      <c r="B78" s="10">
        <v>45150.474305555603</v>
      </c>
      <c r="C78" s="9" t="s">
        <v>33</v>
      </c>
      <c r="D78" s="9">
        <v>8.51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">
      <c r="A79" s="9" t="s">
        <v>36</v>
      </c>
      <c r="B79" s="10">
        <v>45150.473611111098</v>
      </c>
      <c r="C79" s="9" t="s">
        <v>33</v>
      </c>
      <c r="D79" s="9">
        <v>8.51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">
      <c r="A80" s="9" t="s">
        <v>32</v>
      </c>
      <c r="B80" s="10">
        <v>45145.326388888898</v>
      </c>
      <c r="C80" s="9" t="s">
        <v>33</v>
      </c>
      <c r="D80" s="9">
        <v>8.51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">
      <c r="A81" s="9" t="s">
        <v>32</v>
      </c>
      <c r="B81" s="10">
        <v>45141.543749999997</v>
      </c>
      <c r="C81" s="9" t="s">
        <v>33</v>
      </c>
      <c r="D81" s="9">
        <v>8.51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">
      <c r="A82" s="9" t="s">
        <v>32</v>
      </c>
      <c r="B82" s="10">
        <v>45137.806944444397</v>
      </c>
      <c r="C82" s="9" t="s">
        <v>33</v>
      </c>
      <c r="D82" s="9">
        <v>8.51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">
      <c r="A83" s="9" t="s">
        <v>32</v>
      </c>
      <c r="B83" s="10">
        <v>45134.0493055556</v>
      </c>
      <c r="C83" s="9" t="s">
        <v>33</v>
      </c>
      <c r="D83" s="9">
        <v>8.51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">
      <c r="A84" s="9" t="s">
        <v>32</v>
      </c>
      <c r="B84" s="10">
        <v>45127.859027777798</v>
      </c>
      <c r="C84" s="9" t="s">
        <v>33</v>
      </c>
      <c r="D84" s="9">
        <v>8.51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">
      <c r="A85" s="9" t="s">
        <v>32</v>
      </c>
      <c r="B85" s="10">
        <v>45119.401388888902</v>
      </c>
      <c r="C85" s="9" t="s">
        <v>33</v>
      </c>
      <c r="D85" s="9">
        <v>8.51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">
      <c r="A86" s="9" t="s">
        <v>32</v>
      </c>
      <c r="B86" s="10">
        <v>45117.963194444397</v>
      </c>
      <c r="C86" s="9" t="s">
        <v>33</v>
      </c>
      <c r="D86" s="9">
        <v>8.51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">
      <c r="A87" s="11"/>
      <c r="B87" s="12"/>
      <c r="C87" s="11"/>
      <c r="D87" s="11"/>
      <c r="E87" s="13"/>
      <c r="F87" s="13"/>
      <c r="G87" s="13"/>
      <c r="H87" s="13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">
      <c r="A88" s="11"/>
      <c r="B88" s="12"/>
      <c r="C88" s="11"/>
      <c r="D88" s="11"/>
      <c r="E88" s="13"/>
      <c r="F88" s="13"/>
      <c r="G88" s="13"/>
      <c r="H88" s="13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">
      <c r="A89" s="11"/>
      <c r="B89" s="12"/>
      <c r="C89" s="11"/>
      <c r="D89" s="11"/>
      <c r="E89" s="13"/>
      <c r="F89" s="13"/>
      <c r="G89" s="13"/>
      <c r="H89" s="13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">
      <c r="A90" s="11"/>
      <c r="B90" s="12"/>
      <c r="C90" s="11"/>
      <c r="D90" s="11"/>
      <c r="E90" s="13"/>
      <c r="F90" s="13"/>
      <c r="G90" s="13"/>
      <c r="H90" s="13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">
      <c r="A91" s="11"/>
      <c r="B91" s="12"/>
      <c r="C91" s="11"/>
      <c r="D91" s="11"/>
      <c r="E91" s="13"/>
      <c r="F91" s="13"/>
      <c r="G91" s="13"/>
      <c r="H91" s="13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">
      <c r="A92" s="11"/>
      <c r="B92" s="12"/>
      <c r="C92" s="11"/>
      <c r="D92" s="11"/>
      <c r="E92" s="13"/>
      <c r="F92" s="13"/>
      <c r="G92" s="13"/>
      <c r="H92" s="13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">
      <c r="A93" s="11"/>
      <c r="B93" s="12"/>
      <c r="C93" s="11"/>
      <c r="D93" s="11"/>
      <c r="E93" s="13"/>
      <c r="F93" s="13"/>
      <c r="G93" s="13"/>
      <c r="H93" s="13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">
      <c r="A94" s="11"/>
      <c r="B94" s="12"/>
      <c r="C94" s="11"/>
      <c r="D94" s="11"/>
      <c r="E94" s="13"/>
      <c r="F94" s="13"/>
      <c r="G94" s="13"/>
      <c r="H94" s="13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">
      <c r="A95" s="11"/>
      <c r="B95" s="12"/>
      <c r="C95" s="11"/>
      <c r="D95" s="11"/>
      <c r="E95" s="13"/>
      <c r="F95" s="13"/>
      <c r="G95" s="13"/>
      <c r="H95" s="13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">
      <c r="A96" s="11"/>
      <c r="B96" s="12"/>
      <c r="C96" s="11"/>
      <c r="D96" s="11"/>
      <c r="E96" s="13"/>
      <c r="F96" s="13"/>
      <c r="G96" s="13"/>
      <c r="H96" s="13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">
      <c r="A97" s="11"/>
      <c r="B97" s="12"/>
      <c r="C97" s="11"/>
      <c r="D97" s="11"/>
      <c r="E97" s="13"/>
      <c r="F97" s="13"/>
      <c r="G97" s="13"/>
      <c r="H97" s="13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">
      <c r="A98" s="11"/>
      <c r="B98" s="12"/>
      <c r="C98" s="11"/>
      <c r="D98" s="11"/>
      <c r="E98" s="13"/>
      <c r="F98" s="13"/>
      <c r="G98" s="13"/>
      <c r="H98" s="13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">
      <c r="A99" s="11"/>
      <c r="B99" s="12"/>
      <c r="C99" s="11"/>
      <c r="D99" s="11"/>
      <c r="E99" s="13"/>
      <c r="F99" s="13"/>
      <c r="G99" s="13"/>
      <c r="H99" s="13"/>
      <c r="I99" s="7"/>
      <c r="J99" s="14"/>
      <c r="K99" s="14"/>
      <c r="L99" s="14"/>
      <c r="M99" s="14"/>
      <c r="N99" s="14"/>
      <c r="O99" s="14"/>
      <c r="P99" s="14"/>
      <c r="Q99" s="14"/>
      <c r="R99" s="7"/>
      <c r="S99" s="7"/>
      <c r="T99" s="7"/>
      <c r="U99" s="7"/>
      <c r="V99" s="7"/>
      <c r="W99" s="7"/>
      <c r="X99" s="7"/>
      <c r="Y99" s="7"/>
      <c r="Z99" s="14"/>
    </row>
    <row r="100" spans="1:26" ht="15.75" customHeight="1" x14ac:dyDescent="0.2">
      <c r="A100" s="11"/>
      <c r="B100" s="12"/>
      <c r="C100" s="11"/>
      <c r="D100" s="11"/>
      <c r="E100" s="13"/>
      <c r="F100" s="13"/>
      <c r="G100" s="13"/>
      <c r="H100" s="13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">
      <c r="A101" s="15"/>
      <c r="B101" s="16"/>
      <c r="C101" s="17"/>
      <c r="D101" s="17"/>
      <c r="E101" s="18"/>
      <c r="F101" s="18"/>
      <c r="G101" s="18"/>
      <c r="H101" s="13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">
      <c r="A102" s="13"/>
      <c r="B102" s="19"/>
      <c r="C102" s="13"/>
      <c r="D102" s="13"/>
      <c r="E102" s="13"/>
      <c r="F102" s="13"/>
      <c r="G102" s="13"/>
      <c r="H102" s="13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">
      <c r="A103" s="13"/>
      <c r="B103" s="19"/>
      <c r="C103" s="13"/>
      <c r="D103" s="13"/>
      <c r="E103" s="13"/>
      <c r="F103" s="13"/>
      <c r="G103" s="13"/>
      <c r="H103" s="13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">
      <c r="A104" s="13"/>
      <c r="B104" s="19"/>
      <c r="C104" s="13"/>
      <c r="D104" s="13"/>
      <c r="E104" s="13"/>
      <c r="F104" s="13"/>
      <c r="G104" s="13"/>
      <c r="H104" s="13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">
      <c r="A105" s="13"/>
      <c r="B105" s="19"/>
      <c r="C105" s="13"/>
      <c r="D105" s="13"/>
      <c r="E105" s="13"/>
      <c r="F105" s="13"/>
      <c r="G105" s="13"/>
      <c r="H105" s="13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">
      <c r="A106" s="7"/>
      <c r="B106" s="20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">
      <c r="A107" s="7"/>
      <c r="B107" s="20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">
      <c r="A108" s="7"/>
      <c r="B108" s="20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">
      <c r="A109" s="7"/>
      <c r="B109" s="20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">
      <c r="A110" s="7"/>
      <c r="B110" s="20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">
      <c r="A111" s="7"/>
      <c r="B111" s="20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">
      <c r="A112" s="7"/>
      <c r="B112" s="20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">
      <c r="A113" s="7"/>
      <c r="B113" s="20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">
      <c r="A114" s="7"/>
      <c r="B114" s="20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">
      <c r="A115" s="7"/>
      <c r="B115" s="20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">
      <c r="A116" s="7"/>
      <c r="B116" s="20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">
      <c r="A117" s="7"/>
      <c r="B117" s="20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">
      <c r="A118" s="7"/>
      <c r="B118" s="20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">
      <c r="A119" s="7"/>
      <c r="B119" s="20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">
      <c r="A120" s="7"/>
      <c r="B120" s="20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">
      <c r="A121" s="7"/>
      <c r="B121" s="20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">
      <c r="A122" s="7"/>
      <c r="B122" s="20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">
      <c r="A123" s="7"/>
      <c r="B123" s="20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">
      <c r="A124" s="7"/>
      <c r="B124" s="20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">
      <c r="A125" s="7"/>
      <c r="B125" s="20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">
      <c r="A126" s="7"/>
      <c r="B126" s="20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">
      <c r="A127" s="7"/>
      <c r="B127" s="20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">
      <c r="A128" s="7"/>
      <c r="B128" s="20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">
      <c r="A129" s="7"/>
      <c r="B129" s="20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">
      <c r="A130" s="7"/>
      <c r="B130" s="20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">
      <c r="A131" s="7"/>
      <c r="B131" s="2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">
      <c r="A132" s="7"/>
      <c r="B132" s="20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">
      <c r="A133" s="7"/>
      <c r="B133" s="20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">
      <c r="A134" s="7"/>
      <c r="B134" s="20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">
      <c r="A135" s="7"/>
      <c r="B135" s="20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">
      <c r="A136" s="7"/>
      <c r="B136" s="20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">
      <c r="A137" s="7"/>
      <c r="B137" s="20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">
      <c r="A138" s="7"/>
      <c r="B138" s="20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">
      <c r="A139" s="7"/>
      <c r="B139" s="20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">
      <c r="A140" s="7"/>
      <c r="B140" s="20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">
      <c r="A141" s="7"/>
      <c r="B141" s="20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">
      <c r="A142" s="7"/>
      <c r="B142" s="20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">
      <c r="A143" s="7"/>
      <c r="B143" s="2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">
      <c r="A144" s="7"/>
      <c r="B144" s="20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">
      <c r="A145" s="7"/>
      <c r="B145" s="20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">
      <c r="A146" s="7"/>
      <c r="B146" s="20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">
      <c r="A147" s="7"/>
      <c r="B147" s="20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">
      <c r="A148" s="7"/>
      <c r="B148" s="20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">
      <c r="A149" s="7"/>
      <c r="B149" s="20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">
      <c r="A150" s="7"/>
      <c r="B150" s="20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">
      <c r="A151" s="7"/>
      <c r="B151" s="20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">
      <c r="A152" s="7"/>
      <c r="B152" s="20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">
      <c r="A153" s="7"/>
      <c r="B153" s="20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">
      <c r="A154" s="7"/>
      <c r="B154" s="20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">
      <c r="A155" s="7"/>
      <c r="B155" s="20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">
      <c r="A156" s="7"/>
      <c r="B156" s="20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">
      <c r="A157" s="7"/>
      <c r="B157" s="20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">
      <c r="A158" s="7"/>
      <c r="B158" s="20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">
      <c r="A159" s="7"/>
      <c r="B159" s="20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">
      <c r="A160" s="7"/>
      <c r="B160" s="2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">
      <c r="A161" s="7"/>
      <c r="B161" s="20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">
      <c r="A162" s="7"/>
      <c r="B162" s="20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">
      <c r="A163" s="7"/>
      <c r="B163" s="20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">
      <c r="A164" s="7"/>
      <c r="B164" s="20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">
      <c r="A165" s="7"/>
      <c r="B165" s="20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">
      <c r="A166" s="7"/>
      <c r="B166" s="20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">
      <c r="A167" s="7"/>
      <c r="B167" s="20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">
      <c r="A168" s="7"/>
      <c r="B168" s="20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">
      <c r="A169" s="7"/>
      <c r="B169" s="20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">
      <c r="A170" s="7"/>
      <c r="B170" s="20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">
      <c r="A171" s="7"/>
      <c r="B171" s="20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">
      <c r="A172" s="7"/>
      <c r="B172" s="20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">
      <c r="A173" s="7"/>
      <c r="B173" s="20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">
      <c r="A174" s="7"/>
      <c r="B174" s="20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">
      <c r="A175" s="7"/>
      <c r="B175" s="20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">
      <c r="A176" s="7"/>
      <c r="B176" s="20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">
      <c r="A177" s="7"/>
      <c r="B177" s="20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">
      <c r="A178" s="7"/>
      <c r="B178" s="20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">
      <c r="A179" s="7"/>
      <c r="B179" s="20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">
      <c r="A180" s="7"/>
      <c r="B180" s="20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">
      <c r="A181" s="7"/>
      <c r="B181" s="20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">
      <c r="A182" s="7"/>
      <c r="B182" s="20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">
      <c r="A183" s="7"/>
      <c r="B183" s="20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">
      <c r="A184" s="7"/>
      <c r="B184" s="20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">
      <c r="A185" s="7"/>
      <c r="B185" s="20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">
      <c r="A186" s="7"/>
      <c r="B186" s="20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">
      <c r="A187" s="7"/>
      <c r="B187" s="20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">
      <c r="A188" s="7"/>
      <c r="B188" s="20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">
      <c r="A189" s="7"/>
      <c r="B189" s="20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">
      <c r="A190" s="7"/>
      <c r="B190" s="20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">
      <c r="A191" s="7"/>
      <c r="B191" s="20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">
      <c r="A192" s="7"/>
      <c r="B192" s="20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">
      <c r="A193" s="7"/>
      <c r="B193" s="20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">
      <c r="A194" s="7"/>
      <c r="B194" s="20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">
      <c r="A195" s="7"/>
      <c r="B195" s="20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">
      <c r="A196" s="7"/>
      <c r="B196" s="20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">
      <c r="A197" s="7"/>
      <c r="B197" s="20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">
      <c r="A198" s="7"/>
      <c r="B198" s="20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">
      <c r="A199" s="7"/>
      <c r="B199" s="20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">
      <c r="A200" s="7"/>
      <c r="B200" s="20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">
      <c r="A201" s="7"/>
      <c r="B201" s="20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">
      <c r="A202" s="7"/>
      <c r="B202" s="20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">
      <c r="A203" s="7"/>
      <c r="B203" s="20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">
      <c r="A204" s="7"/>
      <c r="B204" s="20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">
      <c r="A205" s="7"/>
      <c r="B205" s="20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">
      <c r="A206" s="7"/>
      <c r="B206" s="20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">
      <c r="A207" s="7"/>
      <c r="B207" s="20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">
      <c r="A208" s="7"/>
      <c r="B208" s="20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">
      <c r="A209" s="7"/>
      <c r="B209" s="20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">
      <c r="A210" s="7"/>
      <c r="B210" s="20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">
      <c r="A211" s="7"/>
      <c r="B211" s="20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">
      <c r="A212" s="7"/>
      <c r="B212" s="20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">
      <c r="A213" s="7"/>
      <c r="B213" s="20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">
      <c r="A214" s="7"/>
      <c r="B214" s="20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">
      <c r="A215" s="7"/>
      <c r="B215" s="20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">
      <c r="A216" s="7"/>
      <c r="B216" s="20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">
      <c r="A217" s="7"/>
      <c r="B217" s="20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">
      <c r="A218" s="7"/>
      <c r="B218" s="20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">
      <c r="A219" s="7"/>
      <c r="B219" s="20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">
      <c r="A220" s="7"/>
      <c r="B220" s="20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>
      <c r="A221" s="7"/>
      <c r="B221" s="20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">
      <c r="A222" s="7"/>
      <c r="B222" s="20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">
      <c r="A223" s="7"/>
      <c r="B223" s="20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>
      <c r="A224" s="7"/>
      <c r="B224" s="20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">
      <c r="A225" s="7"/>
      <c r="B225" s="20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">
      <c r="A226" s="7"/>
      <c r="B226" s="20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">
      <c r="A227" s="7"/>
      <c r="B227" s="20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">
      <c r="A228" s="7"/>
      <c r="B228" s="20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">
      <c r="A229" s="7"/>
      <c r="B229" s="20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">
      <c r="A230" s="7"/>
      <c r="B230" s="20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">
      <c r="A231" s="7"/>
      <c r="B231" s="20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">
      <c r="A232" s="7"/>
      <c r="B232" s="20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">
      <c r="A233" s="7"/>
      <c r="B233" s="20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>
      <c r="A234" s="7"/>
      <c r="B234" s="20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">
      <c r="A235" s="7"/>
      <c r="B235" s="20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">
      <c r="A236" s="7"/>
      <c r="B236" s="20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">
      <c r="A237" s="7"/>
      <c r="B237" s="20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>
      <c r="A238" s="7"/>
      <c r="B238" s="20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">
      <c r="A239" s="7"/>
      <c r="B239" s="20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">
      <c r="A240" s="7"/>
      <c r="B240" s="20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">
      <c r="A241" s="7"/>
      <c r="B241" s="20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">
      <c r="A242" s="7"/>
      <c r="B242" s="20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">
      <c r="A243" s="7"/>
      <c r="B243" s="20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">
      <c r="A244" s="7"/>
      <c r="B244" s="20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">
      <c r="A245" s="7"/>
      <c r="B245" s="20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">
      <c r="A246" s="7"/>
      <c r="B246" s="20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">
      <c r="A247" s="7"/>
      <c r="B247" s="20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">
      <c r="A248" s="7"/>
      <c r="B248" s="20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">
      <c r="A249" s="7"/>
      <c r="B249" s="20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">
      <c r="A250" s="7"/>
      <c r="B250" s="20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">
      <c r="A251" s="7"/>
      <c r="B251" s="20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">
      <c r="A252" s="7"/>
      <c r="B252" s="20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">
      <c r="A253" s="7"/>
      <c r="B253" s="20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">
      <c r="A254" s="7"/>
      <c r="B254" s="20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">
      <c r="A255" s="7"/>
      <c r="B255" s="20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">
      <c r="A256" s="7"/>
      <c r="B256" s="20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">
      <c r="A257" s="7"/>
      <c r="B257" s="20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">
      <c r="A258" s="7"/>
      <c r="B258" s="20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">
      <c r="A259" s="7"/>
      <c r="B259" s="20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">
      <c r="A260" s="7"/>
      <c r="B260" s="20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">
      <c r="A261" s="7"/>
      <c r="B261" s="20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">
      <c r="A262" s="7"/>
      <c r="B262" s="20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">
      <c r="A263" s="7"/>
      <c r="B263" s="20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">
      <c r="A264" s="7"/>
      <c r="B264" s="20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">
      <c r="A265" s="7"/>
      <c r="B265" s="20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">
      <c r="A266" s="7"/>
      <c r="B266" s="20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">
      <c r="A267" s="7"/>
      <c r="B267" s="20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">
      <c r="A268" s="7"/>
      <c r="B268" s="20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">
      <c r="A269" s="7"/>
      <c r="B269" s="20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">
      <c r="A270" s="7"/>
      <c r="B270" s="20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">
      <c r="A271" s="7"/>
      <c r="B271" s="20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">
      <c r="A272" s="7"/>
      <c r="B272" s="20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">
      <c r="A273" s="7"/>
      <c r="B273" s="20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">
      <c r="A274" s="7"/>
      <c r="B274" s="20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">
      <c r="A275" s="7"/>
      <c r="B275" s="20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">
      <c r="A276" s="7"/>
      <c r="B276" s="20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">
      <c r="A277" s="7"/>
      <c r="B277" s="20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">
      <c r="A278" s="7"/>
      <c r="B278" s="20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">
      <c r="A279" s="7"/>
      <c r="B279" s="20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">
      <c r="A280" s="7"/>
      <c r="B280" s="20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">
      <c r="A281" s="7"/>
      <c r="B281" s="20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">
      <c r="A282" s="7"/>
      <c r="B282" s="20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">
      <c r="A283" s="7"/>
      <c r="B283" s="20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">
      <c r="A284" s="7"/>
      <c r="B284" s="20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">
      <c r="A285" s="7"/>
      <c r="B285" s="20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">
      <c r="A286" s="7"/>
      <c r="B286" s="20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15"/>
    <row r="288" spans="1:26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autoFilter ref="H1:Y100" xr:uid="{00000000-0009-0000-0000-000001000000}"/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Z1000"/>
  <sheetViews>
    <sheetView workbookViewId="0"/>
  </sheetViews>
  <sheetFormatPr defaultColWidth="12.625" defaultRowHeight="15" customHeight="1" x14ac:dyDescent="0.15"/>
  <cols>
    <col min="1" max="1" width="26.84765625" customWidth="1"/>
    <col min="2" max="2" width="18.01953125" customWidth="1"/>
    <col min="3" max="3" width="11.15234375" customWidth="1"/>
    <col min="4" max="4" width="14.46484375" customWidth="1"/>
    <col min="5" max="5" width="13.1171875" customWidth="1"/>
    <col min="6" max="6" width="10.41796875" customWidth="1"/>
    <col min="7" max="7" width="13.1171875" customWidth="1"/>
    <col min="8" max="8" width="4.90234375" customWidth="1"/>
    <col min="9" max="9" width="6.49609375" customWidth="1"/>
    <col min="10" max="10" width="7.59765625" customWidth="1"/>
    <col min="11" max="11" width="12.13671875" customWidth="1"/>
    <col min="12" max="12" width="8.703125" customWidth="1"/>
    <col min="13" max="13" width="9.0703125" customWidth="1"/>
    <col min="14" max="14" width="10.78515625" customWidth="1"/>
    <col min="15" max="15" width="11.3984375" customWidth="1"/>
    <col min="16" max="16" width="11.15234375" customWidth="1"/>
    <col min="17" max="17" width="7.72265625" customWidth="1"/>
    <col min="18" max="18" width="6.984375" customWidth="1"/>
    <col min="19" max="26" width="9.19140625" customWidth="1"/>
  </cols>
  <sheetData>
    <row r="1" spans="1:26" ht="14.25" customHeight="1" x14ac:dyDescent="0.15">
      <c r="A1" s="21" t="s">
        <v>7</v>
      </c>
      <c r="B1" s="21" t="s">
        <v>8</v>
      </c>
      <c r="C1" s="21" t="s">
        <v>9</v>
      </c>
      <c r="D1" s="22" t="s">
        <v>37</v>
      </c>
    </row>
    <row r="2" spans="1:26" ht="14.25" customHeight="1" x14ac:dyDescent="0.15">
      <c r="A2" s="21" t="s">
        <v>32</v>
      </c>
      <c r="B2" s="21">
        <v>45071</v>
      </c>
      <c r="C2" s="21" t="s">
        <v>38</v>
      </c>
      <c r="D2" s="22">
        <v>44143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 x14ac:dyDescent="0.15">
      <c r="A3" s="21" t="s">
        <v>32</v>
      </c>
      <c r="B3" s="21">
        <v>45054</v>
      </c>
      <c r="C3" s="21" t="s">
        <v>39</v>
      </c>
      <c r="D3" s="22">
        <v>28162</v>
      </c>
      <c r="F3" s="24"/>
    </row>
    <row r="4" spans="1:26" ht="14.25" customHeight="1" x14ac:dyDescent="0.15">
      <c r="A4" s="21" t="s">
        <v>32</v>
      </c>
      <c r="B4" s="21">
        <v>45022</v>
      </c>
      <c r="C4" s="21" t="s">
        <v>40</v>
      </c>
      <c r="D4" s="22">
        <v>13200.02</v>
      </c>
      <c r="E4" s="25" t="s">
        <v>41</v>
      </c>
      <c r="F4" s="25" t="s">
        <v>42</v>
      </c>
      <c r="G4" s="25" t="s">
        <v>43</v>
      </c>
      <c r="H4" s="25" t="s">
        <v>44</v>
      </c>
      <c r="I4" s="25" t="s">
        <v>45</v>
      </c>
      <c r="J4" s="25" t="s">
        <v>46</v>
      </c>
      <c r="K4" s="25" t="s">
        <v>47</v>
      </c>
      <c r="L4" s="25" t="s">
        <v>48</v>
      </c>
      <c r="M4" s="25" t="s">
        <v>49</v>
      </c>
      <c r="N4" s="25" t="s">
        <v>50</v>
      </c>
      <c r="O4" s="25" t="s">
        <v>51</v>
      </c>
      <c r="P4" s="25" t="s">
        <v>52</v>
      </c>
      <c r="Q4" s="25" t="s">
        <v>53</v>
      </c>
      <c r="R4" s="25" t="s">
        <v>54</v>
      </c>
    </row>
    <row r="5" spans="1:26" ht="14.25" customHeight="1" x14ac:dyDescent="0.15">
      <c r="A5" s="26" t="s">
        <v>55</v>
      </c>
      <c r="B5" s="26">
        <v>45107</v>
      </c>
      <c r="C5" s="26" t="s">
        <v>30</v>
      </c>
      <c r="D5" s="27">
        <v>59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.25" customHeight="1" x14ac:dyDescent="0.15">
      <c r="A6" s="21" t="s">
        <v>32</v>
      </c>
      <c r="B6" s="21">
        <v>45069</v>
      </c>
      <c r="C6" s="21" t="s">
        <v>56</v>
      </c>
      <c r="D6" s="22">
        <v>10500</v>
      </c>
    </row>
    <row r="7" spans="1:26" ht="14.25" customHeight="1" x14ac:dyDescent="0.15">
      <c r="A7" s="21" t="s">
        <v>32</v>
      </c>
      <c r="B7" s="21">
        <v>45069</v>
      </c>
      <c r="C7" s="21" t="s">
        <v>56</v>
      </c>
      <c r="D7" s="22">
        <v>10500</v>
      </c>
    </row>
    <row r="8" spans="1:26" ht="14.25" customHeight="1" x14ac:dyDescent="0.15">
      <c r="A8" s="21" t="s">
        <v>32</v>
      </c>
      <c r="B8" s="21">
        <v>45069</v>
      </c>
      <c r="C8" s="21" t="s">
        <v>56</v>
      </c>
      <c r="D8" s="22">
        <v>10500</v>
      </c>
    </row>
    <row r="9" spans="1:26" ht="14.25" customHeight="1" x14ac:dyDescent="0.15">
      <c r="A9" s="21" t="s">
        <v>32</v>
      </c>
      <c r="B9" s="21">
        <v>45067</v>
      </c>
      <c r="C9" s="21" t="s">
        <v>56</v>
      </c>
      <c r="D9" s="22">
        <v>10500</v>
      </c>
    </row>
    <row r="10" spans="1:26" ht="14.25" customHeight="1" x14ac:dyDescent="0.15">
      <c r="A10" s="21" t="s">
        <v>32</v>
      </c>
      <c r="B10" s="21">
        <v>45067</v>
      </c>
      <c r="C10" s="21" t="s">
        <v>56</v>
      </c>
      <c r="D10" s="22">
        <v>10500</v>
      </c>
    </row>
    <row r="11" spans="1:26" ht="14.25" customHeight="1" x14ac:dyDescent="0.15">
      <c r="A11" s="21" t="s">
        <v>32</v>
      </c>
      <c r="B11" s="21">
        <v>45066</v>
      </c>
      <c r="C11" s="21" t="s">
        <v>56</v>
      </c>
      <c r="D11" s="22">
        <v>10500</v>
      </c>
    </row>
    <row r="12" spans="1:26" ht="14.25" customHeight="1" x14ac:dyDescent="0.15">
      <c r="A12" s="21" t="s">
        <v>32</v>
      </c>
      <c r="B12" s="21">
        <v>45066</v>
      </c>
      <c r="C12" s="21" t="s">
        <v>56</v>
      </c>
      <c r="D12" s="22">
        <v>10500</v>
      </c>
    </row>
    <row r="13" spans="1:26" ht="14.25" customHeight="1" x14ac:dyDescent="0.15">
      <c r="A13" s="21" t="s">
        <v>32</v>
      </c>
      <c r="B13" s="21">
        <v>45063</v>
      </c>
      <c r="C13" s="21" t="s">
        <v>56</v>
      </c>
      <c r="D13" s="22">
        <v>10500</v>
      </c>
    </row>
    <row r="14" spans="1:26" ht="14.25" customHeight="1" x14ac:dyDescent="0.15">
      <c r="A14" s="21" t="s">
        <v>32</v>
      </c>
      <c r="B14" s="21">
        <v>45062</v>
      </c>
      <c r="C14" s="21" t="s">
        <v>56</v>
      </c>
      <c r="D14" s="22">
        <v>10500</v>
      </c>
    </row>
    <row r="15" spans="1:26" ht="14.25" customHeight="1" x14ac:dyDescent="0.15">
      <c r="A15" s="21" t="s">
        <v>32</v>
      </c>
      <c r="B15" s="21">
        <v>45072</v>
      </c>
      <c r="C15" s="21" t="s">
        <v>57</v>
      </c>
      <c r="D15" s="22">
        <v>7299.03</v>
      </c>
    </row>
    <row r="16" spans="1:26" ht="14.25" customHeight="1" x14ac:dyDescent="0.15">
      <c r="A16" s="21" t="s">
        <v>32</v>
      </c>
      <c r="B16" s="21">
        <v>45061</v>
      </c>
      <c r="C16" s="21" t="s">
        <v>57</v>
      </c>
      <c r="D16" s="22">
        <v>7171.38</v>
      </c>
    </row>
    <row r="17" spans="1:4" ht="14.25" customHeight="1" x14ac:dyDescent="0.15">
      <c r="A17" s="26" t="s">
        <v>32</v>
      </c>
      <c r="B17" s="26">
        <v>45118</v>
      </c>
      <c r="C17" s="26" t="s">
        <v>56</v>
      </c>
      <c r="D17" s="27">
        <v>5500</v>
      </c>
    </row>
    <row r="18" spans="1:4" ht="14.25" customHeight="1" x14ac:dyDescent="0.15">
      <c r="A18" s="21" t="s">
        <v>55</v>
      </c>
      <c r="B18" s="21">
        <v>45107</v>
      </c>
      <c r="C18" s="21" t="s">
        <v>30</v>
      </c>
      <c r="D18" s="22">
        <v>59</v>
      </c>
    </row>
    <row r="19" spans="1:4" ht="14.25" customHeight="1" x14ac:dyDescent="0.15">
      <c r="A19" s="21" t="s">
        <v>32</v>
      </c>
      <c r="B19" s="21">
        <v>45117</v>
      </c>
      <c r="C19" s="21" t="s">
        <v>56</v>
      </c>
      <c r="D19" s="22">
        <v>5500</v>
      </c>
    </row>
    <row r="20" spans="1:4" ht="14.25" customHeight="1" x14ac:dyDescent="0.15">
      <c r="A20" s="21" t="s">
        <v>32</v>
      </c>
      <c r="B20" s="21">
        <v>45117</v>
      </c>
      <c r="C20" s="21" t="s">
        <v>56</v>
      </c>
      <c r="D20" s="22">
        <v>5500</v>
      </c>
    </row>
    <row r="21" spans="1:4" ht="14.25" customHeight="1" x14ac:dyDescent="0.15">
      <c r="A21" s="21" t="s">
        <v>32</v>
      </c>
      <c r="B21" s="21">
        <v>45116</v>
      </c>
      <c r="C21" s="21" t="s">
        <v>56</v>
      </c>
      <c r="D21" s="22">
        <v>5500</v>
      </c>
    </row>
    <row r="22" spans="1:4" ht="14.25" customHeight="1" x14ac:dyDescent="0.15">
      <c r="A22" s="21" t="s">
        <v>32</v>
      </c>
      <c r="B22" s="21">
        <v>45114</v>
      </c>
      <c r="C22" s="21" t="s">
        <v>56</v>
      </c>
      <c r="D22" s="22">
        <v>5500</v>
      </c>
    </row>
    <row r="23" spans="1:4" ht="14.25" customHeight="1" x14ac:dyDescent="0.15">
      <c r="A23" s="21" t="s">
        <v>32</v>
      </c>
      <c r="B23" s="21">
        <v>45112</v>
      </c>
      <c r="C23" s="21" t="s">
        <v>56</v>
      </c>
      <c r="D23" s="22">
        <v>5500</v>
      </c>
    </row>
    <row r="24" spans="1:4" ht="14.25" customHeight="1" x14ac:dyDescent="0.15">
      <c r="A24" s="21" t="s">
        <v>32</v>
      </c>
      <c r="B24" s="21">
        <v>45112</v>
      </c>
      <c r="C24" s="21" t="s">
        <v>56</v>
      </c>
      <c r="D24" s="22">
        <v>5500</v>
      </c>
    </row>
    <row r="25" spans="1:4" ht="14.25" customHeight="1" x14ac:dyDescent="0.15">
      <c r="A25" s="21" t="s">
        <v>32</v>
      </c>
      <c r="B25" s="21">
        <v>45110</v>
      </c>
      <c r="C25" s="21" t="s">
        <v>56</v>
      </c>
      <c r="D25" s="22">
        <v>5500</v>
      </c>
    </row>
    <row r="26" spans="1:4" ht="14.25" customHeight="1" x14ac:dyDescent="0.15">
      <c r="A26" s="21" t="s">
        <v>32</v>
      </c>
      <c r="B26" s="21">
        <v>45108</v>
      </c>
      <c r="C26" s="21" t="s">
        <v>56</v>
      </c>
      <c r="D26" s="22">
        <v>5500</v>
      </c>
    </row>
    <row r="27" spans="1:4" ht="14.25" customHeight="1" x14ac:dyDescent="0.15">
      <c r="A27" s="21" t="s">
        <v>32</v>
      </c>
      <c r="B27" s="21">
        <v>45107</v>
      </c>
      <c r="C27" s="21" t="s">
        <v>56</v>
      </c>
      <c r="D27" s="22">
        <v>5500</v>
      </c>
    </row>
    <row r="28" spans="1:4" ht="14.25" customHeight="1" x14ac:dyDescent="0.15">
      <c r="A28" s="21" t="s">
        <v>32</v>
      </c>
      <c r="B28" s="21">
        <v>45102</v>
      </c>
      <c r="C28" s="21" t="s">
        <v>56</v>
      </c>
      <c r="D28" s="22">
        <v>5500</v>
      </c>
    </row>
    <row r="29" spans="1:4" ht="14.25" customHeight="1" x14ac:dyDescent="0.15">
      <c r="A29" s="21" t="s">
        <v>32</v>
      </c>
      <c r="B29" s="21">
        <v>45100</v>
      </c>
      <c r="C29" s="21" t="s">
        <v>56</v>
      </c>
      <c r="D29" s="22">
        <v>5500</v>
      </c>
    </row>
    <row r="30" spans="1:4" ht="14.25" customHeight="1" x14ac:dyDescent="0.15">
      <c r="A30" s="21" t="s">
        <v>32</v>
      </c>
      <c r="B30" s="21">
        <v>45099</v>
      </c>
      <c r="C30" s="21" t="s">
        <v>56</v>
      </c>
      <c r="D30" s="22">
        <v>5500</v>
      </c>
    </row>
    <row r="31" spans="1:4" ht="14.25" customHeight="1" x14ac:dyDescent="0.15">
      <c r="A31" s="21" t="s">
        <v>32</v>
      </c>
      <c r="B31" s="21">
        <v>45099</v>
      </c>
      <c r="C31" s="21" t="s">
        <v>56</v>
      </c>
      <c r="D31" s="22">
        <v>5500</v>
      </c>
    </row>
    <row r="32" spans="1:4" ht="14.25" customHeight="1" x14ac:dyDescent="0.15">
      <c r="A32" s="21" t="s">
        <v>32</v>
      </c>
      <c r="B32" s="21">
        <v>45096</v>
      </c>
      <c r="C32" s="21" t="s">
        <v>56</v>
      </c>
      <c r="D32" s="22">
        <v>5500</v>
      </c>
    </row>
    <row r="33" spans="1:4" ht="14.25" customHeight="1" x14ac:dyDescent="0.15">
      <c r="A33" s="21" t="s">
        <v>32</v>
      </c>
      <c r="B33" s="21">
        <v>45093</v>
      </c>
      <c r="C33" s="21" t="s">
        <v>56</v>
      </c>
      <c r="D33" s="22">
        <v>5500</v>
      </c>
    </row>
    <row r="34" spans="1:4" ht="14.25" customHeight="1" x14ac:dyDescent="0.15">
      <c r="A34" s="21" t="s">
        <v>32</v>
      </c>
      <c r="B34" s="21">
        <v>45093</v>
      </c>
      <c r="C34" s="21" t="s">
        <v>56</v>
      </c>
      <c r="D34" s="22">
        <v>5500</v>
      </c>
    </row>
    <row r="35" spans="1:4" ht="14.25" customHeight="1" x14ac:dyDescent="0.15">
      <c r="A35" s="21" t="s">
        <v>32</v>
      </c>
      <c r="B35" s="21">
        <v>45091</v>
      </c>
      <c r="C35" s="21" t="s">
        <v>56</v>
      </c>
      <c r="D35" s="22">
        <v>5500</v>
      </c>
    </row>
    <row r="36" spans="1:4" ht="14.25" customHeight="1" x14ac:dyDescent="0.15">
      <c r="A36" s="21" t="s">
        <v>32</v>
      </c>
      <c r="B36" s="21">
        <v>45091</v>
      </c>
      <c r="C36" s="21" t="s">
        <v>56</v>
      </c>
      <c r="D36" s="22">
        <v>5500</v>
      </c>
    </row>
    <row r="37" spans="1:4" ht="14.25" customHeight="1" x14ac:dyDescent="0.15">
      <c r="A37" s="21" t="s">
        <v>32</v>
      </c>
      <c r="B37" s="21">
        <v>45089</v>
      </c>
      <c r="C37" s="21" t="s">
        <v>56</v>
      </c>
      <c r="D37" s="22">
        <v>5500</v>
      </c>
    </row>
    <row r="38" spans="1:4" ht="14.25" customHeight="1" x14ac:dyDescent="0.15">
      <c r="A38" s="21" t="s">
        <v>32</v>
      </c>
      <c r="B38" s="21">
        <v>45089</v>
      </c>
      <c r="C38" s="21" t="s">
        <v>56</v>
      </c>
      <c r="D38" s="22">
        <v>5500</v>
      </c>
    </row>
    <row r="39" spans="1:4" ht="14.25" customHeight="1" x14ac:dyDescent="0.15">
      <c r="A39" s="21" t="s">
        <v>32</v>
      </c>
      <c r="B39" s="21">
        <v>45088</v>
      </c>
      <c r="C39" s="21" t="s">
        <v>56</v>
      </c>
      <c r="D39" s="22">
        <v>5500</v>
      </c>
    </row>
    <row r="40" spans="1:4" ht="14.25" customHeight="1" x14ac:dyDescent="0.15">
      <c r="A40" s="21" t="s">
        <v>32</v>
      </c>
      <c r="B40" s="21">
        <v>45088</v>
      </c>
      <c r="C40" s="21" t="s">
        <v>56</v>
      </c>
      <c r="D40" s="22">
        <v>5500</v>
      </c>
    </row>
    <row r="41" spans="1:4" ht="14.25" customHeight="1" x14ac:dyDescent="0.15">
      <c r="A41" s="21" t="s">
        <v>32</v>
      </c>
      <c r="B41" s="21">
        <v>45088</v>
      </c>
      <c r="C41" s="21" t="s">
        <v>56</v>
      </c>
      <c r="D41" s="22">
        <v>5500</v>
      </c>
    </row>
    <row r="42" spans="1:4" ht="14.25" customHeight="1" x14ac:dyDescent="0.15">
      <c r="A42" s="21" t="s">
        <v>32</v>
      </c>
      <c r="B42" s="21">
        <v>45088</v>
      </c>
      <c r="C42" s="21" t="s">
        <v>56</v>
      </c>
      <c r="D42" s="22">
        <v>5500</v>
      </c>
    </row>
    <row r="43" spans="1:4" ht="14.25" customHeight="1" x14ac:dyDescent="0.15">
      <c r="A43" s="21" t="s">
        <v>32</v>
      </c>
      <c r="B43" s="21">
        <v>45088</v>
      </c>
      <c r="C43" s="21" t="s">
        <v>56</v>
      </c>
      <c r="D43" s="22">
        <v>5500</v>
      </c>
    </row>
    <row r="44" spans="1:4" ht="14.25" customHeight="1" x14ac:dyDescent="0.15">
      <c r="A44" s="21" t="s">
        <v>32</v>
      </c>
      <c r="B44" s="21">
        <v>45088</v>
      </c>
      <c r="C44" s="21" t="s">
        <v>56</v>
      </c>
      <c r="D44" s="22">
        <v>5500</v>
      </c>
    </row>
    <row r="45" spans="1:4" ht="14.25" customHeight="1" x14ac:dyDescent="0.15">
      <c r="A45" s="21" t="s">
        <v>32</v>
      </c>
      <c r="B45" s="21">
        <v>45088</v>
      </c>
      <c r="C45" s="21" t="s">
        <v>56</v>
      </c>
      <c r="D45" s="22">
        <v>5500</v>
      </c>
    </row>
    <row r="46" spans="1:4" ht="14.25" customHeight="1" x14ac:dyDescent="0.15">
      <c r="A46" s="21" t="s">
        <v>32</v>
      </c>
      <c r="B46" s="21">
        <v>45088</v>
      </c>
      <c r="C46" s="21" t="s">
        <v>56</v>
      </c>
      <c r="D46" s="22">
        <v>5500</v>
      </c>
    </row>
    <row r="47" spans="1:4" ht="14.25" customHeight="1" x14ac:dyDescent="0.15">
      <c r="A47" s="21" t="s">
        <v>32</v>
      </c>
      <c r="B47" s="21">
        <v>45084</v>
      </c>
      <c r="C47" s="21" t="s">
        <v>56</v>
      </c>
      <c r="D47" s="22">
        <v>5500</v>
      </c>
    </row>
    <row r="48" spans="1:4" ht="14.25" customHeight="1" x14ac:dyDescent="0.15">
      <c r="A48" s="21" t="s">
        <v>32</v>
      </c>
      <c r="B48" s="21">
        <v>45083</v>
      </c>
      <c r="C48" s="21" t="s">
        <v>56</v>
      </c>
      <c r="D48" s="22">
        <v>5500</v>
      </c>
    </row>
    <row r="49" spans="1:4" ht="14.25" customHeight="1" x14ac:dyDescent="0.15">
      <c r="A49" s="21" t="s">
        <v>32</v>
      </c>
      <c r="B49" s="21">
        <v>45083</v>
      </c>
      <c r="C49" s="21" t="s">
        <v>56</v>
      </c>
      <c r="D49" s="22">
        <v>5500</v>
      </c>
    </row>
    <row r="50" spans="1:4" ht="14.25" customHeight="1" x14ac:dyDescent="0.15">
      <c r="A50" s="21" t="s">
        <v>32</v>
      </c>
      <c r="B50" s="21">
        <v>45082</v>
      </c>
      <c r="C50" s="21" t="s">
        <v>56</v>
      </c>
      <c r="D50" s="22">
        <v>5500</v>
      </c>
    </row>
    <row r="51" spans="1:4" ht="14.25" customHeight="1" x14ac:dyDescent="0.15">
      <c r="A51" s="21" t="s">
        <v>32</v>
      </c>
      <c r="B51" s="21">
        <v>45082</v>
      </c>
      <c r="C51" s="21" t="s">
        <v>56</v>
      </c>
      <c r="D51" s="22">
        <v>5500</v>
      </c>
    </row>
    <row r="52" spans="1:4" ht="14.25" customHeight="1" x14ac:dyDescent="0.15">
      <c r="A52" s="21" t="s">
        <v>32</v>
      </c>
      <c r="B52" s="21">
        <v>45080</v>
      </c>
      <c r="C52" s="21" t="s">
        <v>56</v>
      </c>
      <c r="D52" s="22">
        <v>5500</v>
      </c>
    </row>
    <row r="53" spans="1:4" ht="14.25" customHeight="1" x14ac:dyDescent="0.15">
      <c r="A53" s="21" t="s">
        <v>32</v>
      </c>
      <c r="B53" s="21">
        <v>45080</v>
      </c>
      <c r="C53" s="21" t="s">
        <v>56</v>
      </c>
      <c r="D53" s="22">
        <v>5500</v>
      </c>
    </row>
    <row r="54" spans="1:4" ht="14.25" customHeight="1" x14ac:dyDescent="0.15">
      <c r="A54" s="21" t="s">
        <v>32</v>
      </c>
      <c r="B54" s="21">
        <v>45079</v>
      </c>
      <c r="C54" s="21" t="s">
        <v>56</v>
      </c>
      <c r="D54" s="22">
        <v>5500</v>
      </c>
    </row>
    <row r="55" spans="1:4" ht="14.25" customHeight="1" x14ac:dyDescent="0.15">
      <c r="A55" s="21" t="s">
        <v>32</v>
      </c>
      <c r="B55" s="21">
        <v>45078</v>
      </c>
      <c r="C55" s="21" t="s">
        <v>56</v>
      </c>
      <c r="D55" s="22">
        <v>5500</v>
      </c>
    </row>
    <row r="56" spans="1:4" ht="14.25" customHeight="1" x14ac:dyDescent="0.15">
      <c r="A56" s="21" t="s">
        <v>32</v>
      </c>
      <c r="B56" s="21">
        <v>45078</v>
      </c>
      <c r="C56" s="21" t="s">
        <v>56</v>
      </c>
      <c r="D56" s="22">
        <v>5500</v>
      </c>
    </row>
    <row r="57" spans="1:4" ht="14.25" customHeight="1" x14ac:dyDescent="0.15">
      <c r="A57" s="21" t="s">
        <v>32</v>
      </c>
      <c r="B57" s="21">
        <v>45077</v>
      </c>
      <c r="C57" s="21" t="s">
        <v>56</v>
      </c>
      <c r="D57" s="22">
        <v>5500</v>
      </c>
    </row>
    <row r="58" spans="1:4" ht="14.25" customHeight="1" x14ac:dyDescent="0.15">
      <c r="A58" s="21" t="s">
        <v>32</v>
      </c>
      <c r="B58" s="21">
        <v>45077</v>
      </c>
      <c r="C58" s="21" t="s">
        <v>56</v>
      </c>
      <c r="D58" s="22">
        <v>5500</v>
      </c>
    </row>
    <row r="59" spans="1:4" ht="14.25" customHeight="1" x14ac:dyDescent="0.15">
      <c r="A59" s="21" t="s">
        <v>32</v>
      </c>
      <c r="B59" s="21">
        <v>45076</v>
      </c>
      <c r="C59" s="21" t="s">
        <v>56</v>
      </c>
      <c r="D59" s="22">
        <v>5500</v>
      </c>
    </row>
    <row r="60" spans="1:4" ht="14.25" customHeight="1" x14ac:dyDescent="0.15">
      <c r="A60" s="21" t="s">
        <v>32</v>
      </c>
      <c r="B60" s="21">
        <v>45075</v>
      </c>
      <c r="C60" s="21" t="s">
        <v>56</v>
      </c>
      <c r="D60" s="22">
        <v>5500</v>
      </c>
    </row>
    <row r="61" spans="1:4" ht="14.25" customHeight="1" x14ac:dyDescent="0.15">
      <c r="A61" s="21" t="s">
        <v>55</v>
      </c>
      <c r="B61" s="21">
        <v>45089</v>
      </c>
      <c r="C61" s="21" t="s">
        <v>33</v>
      </c>
      <c r="D61" s="22">
        <v>4.1900000000000004</v>
      </c>
    </row>
    <row r="62" spans="1:4" ht="14.25" customHeight="1" x14ac:dyDescent="0.15">
      <c r="A62" s="21" t="s">
        <v>55</v>
      </c>
      <c r="B62" s="21">
        <v>45089</v>
      </c>
      <c r="C62" s="21" t="s">
        <v>56</v>
      </c>
      <c r="D62" s="22">
        <v>2500</v>
      </c>
    </row>
    <row r="63" spans="1:4" ht="14.25" customHeight="1" x14ac:dyDescent="0.15">
      <c r="A63" s="21" t="s">
        <v>55</v>
      </c>
      <c r="B63" s="21">
        <v>45089</v>
      </c>
      <c r="C63" s="21" t="s">
        <v>56</v>
      </c>
      <c r="D63" s="22">
        <v>2500</v>
      </c>
    </row>
    <row r="64" spans="1:4" ht="14.25" customHeight="1" x14ac:dyDescent="0.15">
      <c r="A64" s="21" t="s">
        <v>55</v>
      </c>
      <c r="B64" s="21">
        <v>45089</v>
      </c>
      <c r="C64" s="21" t="s">
        <v>56</v>
      </c>
      <c r="D64" s="22">
        <v>3500</v>
      </c>
    </row>
    <row r="65" spans="1:4" ht="14.25" customHeight="1" x14ac:dyDescent="0.15">
      <c r="A65" s="21" t="s">
        <v>32</v>
      </c>
      <c r="B65" s="21">
        <v>45075</v>
      </c>
      <c r="C65" s="21" t="s">
        <v>56</v>
      </c>
      <c r="D65" s="22">
        <v>5500</v>
      </c>
    </row>
    <row r="66" spans="1:4" ht="14.25" customHeight="1" x14ac:dyDescent="0.15">
      <c r="A66" s="21" t="s">
        <v>32</v>
      </c>
      <c r="B66" s="21">
        <v>45075</v>
      </c>
      <c r="C66" s="21" t="s">
        <v>56</v>
      </c>
      <c r="D66" s="22">
        <v>5500</v>
      </c>
    </row>
    <row r="67" spans="1:4" ht="14.25" customHeight="1" x14ac:dyDescent="0.15">
      <c r="A67" s="21" t="s">
        <v>32</v>
      </c>
      <c r="B67" s="21">
        <v>45075</v>
      </c>
      <c r="C67" s="21" t="s">
        <v>56</v>
      </c>
      <c r="D67" s="22">
        <v>5500</v>
      </c>
    </row>
    <row r="68" spans="1:4" ht="14.25" customHeight="1" x14ac:dyDescent="0.15">
      <c r="A68" s="21" t="s">
        <v>32</v>
      </c>
      <c r="B68" s="21">
        <v>45075</v>
      </c>
      <c r="C68" s="21" t="s">
        <v>56</v>
      </c>
      <c r="D68" s="22">
        <v>5500</v>
      </c>
    </row>
    <row r="69" spans="1:4" ht="14.25" customHeight="1" x14ac:dyDescent="0.15">
      <c r="A69" s="21" t="s">
        <v>32</v>
      </c>
      <c r="B69" s="21">
        <v>45075</v>
      </c>
      <c r="C69" s="21" t="s">
        <v>56</v>
      </c>
      <c r="D69" s="22">
        <v>5500</v>
      </c>
    </row>
    <row r="70" spans="1:4" ht="14.25" customHeight="1" x14ac:dyDescent="0.15">
      <c r="A70" s="21" t="s">
        <v>32</v>
      </c>
      <c r="B70" s="21">
        <v>45074</v>
      </c>
      <c r="C70" s="21" t="s">
        <v>56</v>
      </c>
      <c r="D70" s="22">
        <v>5500</v>
      </c>
    </row>
    <row r="71" spans="1:4" ht="14.25" customHeight="1" x14ac:dyDescent="0.15">
      <c r="A71" s="21" t="s">
        <v>32</v>
      </c>
      <c r="B71" s="21">
        <v>45071</v>
      </c>
      <c r="C71" s="21" t="s">
        <v>56</v>
      </c>
      <c r="D71" s="22">
        <v>5500</v>
      </c>
    </row>
    <row r="72" spans="1:4" ht="14.25" customHeight="1" x14ac:dyDescent="0.15">
      <c r="A72" s="21" t="s">
        <v>32</v>
      </c>
      <c r="B72" s="21">
        <v>45071</v>
      </c>
      <c r="C72" s="21" t="s">
        <v>56</v>
      </c>
      <c r="D72" s="22">
        <v>5500</v>
      </c>
    </row>
    <row r="73" spans="1:4" ht="14.25" customHeight="1" x14ac:dyDescent="0.15">
      <c r="A73" s="21" t="s">
        <v>32</v>
      </c>
      <c r="B73" s="21">
        <v>45062</v>
      </c>
      <c r="C73" s="21" t="s">
        <v>56</v>
      </c>
      <c r="D73" s="22">
        <v>5500</v>
      </c>
    </row>
    <row r="74" spans="1:4" ht="14.25" customHeight="1" x14ac:dyDescent="0.15">
      <c r="A74" s="21" t="s">
        <v>32</v>
      </c>
      <c r="B74" s="21">
        <v>45062</v>
      </c>
      <c r="C74" s="21" t="s">
        <v>56</v>
      </c>
      <c r="D74" s="22">
        <v>5500</v>
      </c>
    </row>
    <row r="75" spans="1:4" ht="14.25" customHeight="1" x14ac:dyDescent="0.15">
      <c r="A75" s="21" t="s">
        <v>32</v>
      </c>
      <c r="B75" s="21">
        <v>45061</v>
      </c>
      <c r="C75" s="21" t="s">
        <v>56</v>
      </c>
      <c r="D75" s="22">
        <v>5500</v>
      </c>
    </row>
    <row r="76" spans="1:4" ht="14.25" customHeight="1" x14ac:dyDescent="0.15">
      <c r="A76" s="21" t="s">
        <v>32</v>
      </c>
      <c r="B76" s="21">
        <v>45061</v>
      </c>
      <c r="C76" s="21" t="s">
        <v>56</v>
      </c>
      <c r="D76" s="22">
        <v>5500</v>
      </c>
    </row>
    <row r="77" spans="1:4" ht="14.25" customHeight="1" x14ac:dyDescent="0.15">
      <c r="A77" s="21" t="s">
        <v>32</v>
      </c>
      <c r="B77" s="21">
        <v>45061</v>
      </c>
      <c r="C77" s="21" t="s">
        <v>56</v>
      </c>
      <c r="D77" s="22">
        <v>5500</v>
      </c>
    </row>
    <row r="78" spans="1:4" ht="14.25" customHeight="1" x14ac:dyDescent="0.15">
      <c r="A78" s="21" t="s">
        <v>32</v>
      </c>
      <c r="B78" s="21">
        <v>45060</v>
      </c>
      <c r="C78" s="21" t="s">
        <v>56</v>
      </c>
      <c r="D78" s="22">
        <v>5500</v>
      </c>
    </row>
    <row r="79" spans="1:4" ht="14.25" customHeight="1" x14ac:dyDescent="0.15">
      <c r="A79" s="21" t="s">
        <v>32</v>
      </c>
      <c r="B79" s="21">
        <v>45060</v>
      </c>
      <c r="C79" s="21" t="s">
        <v>56</v>
      </c>
      <c r="D79" s="22">
        <v>5500</v>
      </c>
    </row>
    <row r="80" spans="1:4" ht="14.25" customHeight="1" x14ac:dyDescent="0.15">
      <c r="A80" s="21" t="s">
        <v>32</v>
      </c>
      <c r="B80" s="21">
        <v>45060</v>
      </c>
      <c r="C80" s="21" t="s">
        <v>56</v>
      </c>
      <c r="D80" s="22">
        <v>5500</v>
      </c>
    </row>
    <row r="81" spans="1:4" ht="14.25" customHeight="1" x14ac:dyDescent="0.15">
      <c r="A81" s="21" t="s">
        <v>32</v>
      </c>
      <c r="B81" s="21">
        <v>45060</v>
      </c>
      <c r="C81" s="21" t="s">
        <v>56</v>
      </c>
      <c r="D81" s="22">
        <v>5500</v>
      </c>
    </row>
    <row r="82" spans="1:4" ht="14.25" customHeight="1" x14ac:dyDescent="0.15">
      <c r="A82" s="21" t="s">
        <v>32</v>
      </c>
      <c r="B82" s="21">
        <v>45060</v>
      </c>
      <c r="C82" s="21" t="s">
        <v>56</v>
      </c>
      <c r="D82" s="22">
        <v>5500</v>
      </c>
    </row>
    <row r="83" spans="1:4" ht="14.25" customHeight="1" x14ac:dyDescent="0.15">
      <c r="A83" s="21" t="s">
        <v>32</v>
      </c>
      <c r="B83" s="21">
        <v>45060</v>
      </c>
      <c r="C83" s="21" t="s">
        <v>56</v>
      </c>
      <c r="D83" s="22">
        <v>5500</v>
      </c>
    </row>
    <row r="84" spans="1:4" ht="14.25" customHeight="1" x14ac:dyDescent="0.15">
      <c r="A84" s="21" t="s">
        <v>32</v>
      </c>
      <c r="B84" s="21">
        <v>45059</v>
      </c>
      <c r="C84" s="21" t="s">
        <v>56</v>
      </c>
      <c r="D84" s="22">
        <v>5500</v>
      </c>
    </row>
    <row r="85" spans="1:4" ht="14.25" customHeight="1" x14ac:dyDescent="0.15">
      <c r="A85" s="21" t="s">
        <v>32</v>
      </c>
      <c r="B85" s="21">
        <v>45059</v>
      </c>
      <c r="C85" s="21" t="s">
        <v>56</v>
      </c>
      <c r="D85" s="22">
        <v>5500</v>
      </c>
    </row>
    <row r="86" spans="1:4" ht="14.25" customHeight="1" x14ac:dyDescent="0.15">
      <c r="A86" s="21" t="s">
        <v>32</v>
      </c>
      <c r="B86" s="21">
        <v>45059</v>
      </c>
      <c r="C86" s="21" t="s">
        <v>56</v>
      </c>
      <c r="D86" s="22">
        <v>5500</v>
      </c>
    </row>
    <row r="87" spans="1:4" ht="14.25" customHeight="1" x14ac:dyDescent="0.15">
      <c r="A87" s="21" t="s">
        <v>32</v>
      </c>
      <c r="B87" s="21">
        <v>45059</v>
      </c>
      <c r="C87" s="21" t="s">
        <v>56</v>
      </c>
      <c r="D87" s="22">
        <v>5500</v>
      </c>
    </row>
    <row r="88" spans="1:4" ht="14.25" customHeight="1" x14ac:dyDescent="0.15">
      <c r="A88" s="21" t="s">
        <v>32</v>
      </c>
      <c r="B88" s="21">
        <v>45059</v>
      </c>
      <c r="C88" s="21" t="s">
        <v>56</v>
      </c>
      <c r="D88" s="22">
        <v>5500</v>
      </c>
    </row>
    <row r="89" spans="1:4" ht="14.25" customHeight="1" x14ac:dyDescent="0.15">
      <c r="A89" s="21" t="s">
        <v>32</v>
      </c>
      <c r="B89" s="21">
        <v>45059</v>
      </c>
      <c r="C89" s="21" t="s">
        <v>56</v>
      </c>
      <c r="D89" s="22">
        <v>5500</v>
      </c>
    </row>
    <row r="90" spans="1:4" ht="14.25" customHeight="1" x14ac:dyDescent="0.15">
      <c r="A90" s="21" t="s">
        <v>32</v>
      </c>
      <c r="B90" s="21">
        <v>45059</v>
      </c>
      <c r="C90" s="21" t="s">
        <v>56</v>
      </c>
      <c r="D90" s="22">
        <v>5500</v>
      </c>
    </row>
    <row r="91" spans="1:4" ht="14.25" customHeight="1" x14ac:dyDescent="0.15">
      <c r="A91" s="21" t="s">
        <v>32</v>
      </c>
      <c r="B91" s="21">
        <v>45059</v>
      </c>
      <c r="C91" s="21" t="s">
        <v>56</v>
      </c>
      <c r="D91" s="22">
        <v>5500</v>
      </c>
    </row>
    <row r="92" spans="1:4" ht="14.25" customHeight="1" x14ac:dyDescent="0.15">
      <c r="A92" s="21" t="s">
        <v>32</v>
      </c>
      <c r="B92" s="21">
        <v>45058</v>
      </c>
      <c r="C92" s="21" t="s">
        <v>56</v>
      </c>
      <c r="D92" s="22">
        <v>5500</v>
      </c>
    </row>
    <row r="93" spans="1:4" ht="14.25" customHeight="1" x14ac:dyDescent="0.15">
      <c r="A93" s="21" t="s">
        <v>32</v>
      </c>
      <c r="B93" s="21">
        <v>45058</v>
      </c>
      <c r="C93" s="21" t="s">
        <v>56</v>
      </c>
      <c r="D93" s="22">
        <v>5500</v>
      </c>
    </row>
    <row r="94" spans="1:4" ht="14.25" customHeight="1" x14ac:dyDescent="0.15">
      <c r="A94" s="21" t="s">
        <v>32</v>
      </c>
      <c r="B94" s="21">
        <v>45058</v>
      </c>
      <c r="C94" s="21" t="s">
        <v>56</v>
      </c>
      <c r="D94" s="22">
        <v>5500</v>
      </c>
    </row>
    <row r="95" spans="1:4" ht="14.25" customHeight="1" x14ac:dyDescent="0.15">
      <c r="A95" s="21" t="s">
        <v>32</v>
      </c>
      <c r="B95" s="21">
        <v>45057</v>
      </c>
      <c r="C95" s="21" t="s">
        <v>56</v>
      </c>
      <c r="D95" s="22">
        <v>5500</v>
      </c>
    </row>
    <row r="96" spans="1:4" ht="14.25" customHeight="1" x14ac:dyDescent="0.15">
      <c r="A96" s="21" t="s">
        <v>32</v>
      </c>
      <c r="B96" s="21">
        <v>45057</v>
      </c>
      <c r="C96" s="21" t="s">
        <v>56</v>
      </c>
      <c r="D96" s="22">
        <v>5500</v>
      </c>
    </row>
    <row r="97" spans="1:4" ht="14.25" customHeight="1" x14ac:dyDescent="0.15">
      <c r="A97" s="21" t="s">
        <v>32</v>
      </c>
      <c r="B97" s="21">
        <v>45056</v>
      </c>
      <c r="C97" s="21" t="s">
        <v>56</v>
      </c>
      <c r="D97" s="22">
        <v>5500</v>
      </c>
    </row>
    <row r="98" spans="1:4" ht="14.25" customHeight="1" x14ac:dyDescent="0.15">
      <c r="A98" s="21" t="s">
        <v>32</v>
      </c>
      <c r="B98" s="21">
        <v>45056</v>
      </c>
      <c r="C98" s="21" t="s">
        <v>56</v>
      </c>
      <c r="D98" s="22">
        <v>5500</v>
      </c>
    </row>
    <row r="99" spans="1:4" ht="14.25" customHeight="1" x14ac:dyDescent="0.15">
      <c r="A99" s="21" t="s">
        <v>32</v>
      </c>
      <c r="B99" s="21">
        <v>45056</v>
      </c>
      <c r="C99" s="21" t="s">
        <v>56</v>
      </c>
      <c r="D99" s="22">
        <v>5500</v>
      </c>
    </row>
    <row r="100" spans="1:4" ht="14.25" customHeight="1" x14ac:dyDescent="0.15">
      <c r="A100" s="21" t="s">
        <v>32</v>
      </c>
      <c r="B100" s="21">
        <v>45055</v>
      </c>
      <c r="C100" s="21" t="s">
        <v>56</v>
      </c>
      <c r="D100" s="22">
        <v>5500</v>
      </c>
    </row>
    <row r="101" spans="1:4" ht="14.25" customHeight="1" x14ac:dyDescent="0.15">
      <c r="A101" s="21" t="s">
        <v>32</v>
      </c>
      <c r="B101" s="21">
        <v>45054</v>
      </c>
      <c r="C101" s="21" t="s">
        <v>56</v>
      </c>
      <c r="D101" s="22">
        <v>5500</v>
      </c>
    </row>
    <row r="102" spans="1:4" ht="14.25" customHeight="1" x14ac:dyDescent="0.15">
      <c r="A102" s="21" t="s">
        <v>32</v>
      </c>
      <c r="B102" s="21">
        <v>45054</v>
      </c>
      <c r="C102" s="21" t="s">
        <v>56</v>
      </c>
      <c r="D102" s="22">
        <v>5500</v>
      </c>
    </row>
    <row r="103" spans="1:4" ht="14.25" customHeight="1" x14ac:dyDescent="0.15">
      <c r="A103" s="21" t="s">
        <v>32</v>
      </c>
      <c r="B103" s="21">
        <v>45053</v>
      </c>
      <c r="C103" s="21" t="s">
        <v>56</v>
      </c>
      <c r="D103" s="22">
        <v>5500</v>
      </c>
    </row>
    <row r="104" spans="1:4" ht="14.25" customHeight="1" x14ac:dyDescent="0.15">
      <c r="A104" s="21" t="s">
        <v>32</v>
      </c>
      <c r="B104" s="21">
        <v>45052</v>
      </c>
      <c r="C104" s="21" t="s">
        <v>56</v>
      </c>
      <c r="D104" s="22">
        <v>5500</v>
      </c>
    </row>
    <row r="105" spans="1:4" ht="14.25" customHeight="1" x14ac:dyDescent="0.15">
      <c r="A105" s="21" t="s">
        <v>32</v>
      </c>
      <c r="B105" s="21">
        <v>45052</v>
      </c>
      <c r="C105" s="21" t="s">
        <v>56</v>
      </c>
      <c r="D105" s="22">
        <v>5500</v>
      </c>
    </row>
    <row r="106" spans="1:4" ht="14.25" customHeight="1" x14ac:dyDescent="0.15">
      <c r="A106" s="21" t="s">
        <v>32</v>
      </c>
      <c r="B106" s="21">
        <v>45052</v>
      </c>
      <c r="C106" s="21" t="s">
        <v>56</v>
      </c>
      <c r="D106" s="22">
        <v>5500</v>
      </c>
    </row>
    <row r="107" spans="1:4" ht="14.25" customHeight="1" x14ac:dyDescent="0.15">
      <c r="A107" s="21" t="s">
        <v>32</v>
      </c>
      <c r="B107" s="21">
        <v>45052</v>
      </c>
      <c r="C107" s="21" t="s">
        <v>56</v>
      </c>
      <c r="D107" s="22">
        <v>5500</v>
      </c>
    </row>
    <row r="108" spans="1:4" ht="14.25" customHeight="1" x14ac:dyDescent="0.15">
      <c r="A108" s="21" t="s">
        <v>32</v>
      </c>
      <c r="B108" s="21">
        <v>45052</v>
      </c>
      <c r="C108" s="21" t="s">
        <v>56</v>
      </c>
      <c r="D108" s="22">
        <v>5500</v>
      </c>
    </row>
    <row r="109" spans="1:4" ht="14.25" customHeight="1" x14ac:dyDescent="0.15">
      <c r="A109" s="21" t="s">
        <v>32</v>
      </c>
      <c r="B109" s="21">
        <v>45051</v>
      </c>
      <c r="C109" s="21" t="s">
        <v>56</v>
      </c>
      <c r="D109" s="22">
        <v>5500</v>
      </c>
    </row>
    <row r="110" spans="1:4" ht="14.25" customHeight="1" x14ac:dyDescent="0.15">
      <c r="A110" s="21" t="s">
        <v>32</v>
      </c>
      <c r="B110" s="21">
        <v>45049</v>
      </c>
      <c r="C110" s="21" t="s">
        <v>56</v>
      </c>
      <c r="D110" s="22">
        <v>5500</v>
      </c>
    </row>
    <row r="111" spans="1:4" ht="14.25" customHeight="1" x14ac:dyDescent="0.15">
      <c r="A111" s="21" t="s">
        <v>32</v>
      </c>
      <c r="B111" s="21">
        <v>45049</v>
      </c>
      <c r="C111" s="21" t="s">
        <v>56</v>
      </c>
      <c r="D111" s="22">
        <v>5500</v>
      </c>
    </row>
    <row r="112" spans="1:4" ht="14.25" customHeight="1" x14ac:dyDescent="0.15">
      <c r="A112" s="21" t="s">
        <v>32</v>
      </c>
      <c r="B112" s="21">
        <v>45049</v>
      </c>
      <c r="C112" s="21" t="s">
        <v>56</v>
      </c>
      <c r="D112" s="22">
        <v>5500</v>
      </c>
    </row>
    <row r="113" spans="1:4" ht="14.25" customHeight="1" x14ac:dyDescent="0.15">
      <c r="A113" s="21" t="s">
        <v>32</v>
      </c>
      <c r="B113" s="21">
        <v>45048</v>
      </c>
      <c r="C113" s="21" t="s">
        <v>56</v>
      </c>
      <c r="D113" s="22">
        <v>5500</v>
      </c>
    </row>
    <row r="114" spans="1:4" ht="14.25" customHeight="1" x14ac:dyDescent="0.15">
      <c r="A114" s="21" t="s">
        <v>32</v>
      </c>
      <c r="B114" s="21">
        <v>45047</v>
      </c>
      <c r="C114" s="21" t="s">
        <v>56</v>
      </c>
      <c r="D114" s="22">
        <v>5500</v>
      </c>
    </row>
    <row r="115" spans="1:4" ht="14.25" customHeight="1" x14ac:dyDescent="0.15">
      <c r="A115" s="21" t="s">
        <v>32</v>
      </c>
      <c r="B115" s="21">
        <v>45046</v>
      </c>
      <c r="C115" s="21" t="s">
        <v>56</v>
      </c>
      <c r="D115" s="22">
        <v>5500</v>
      </c>
    </row>
    <row r="116" spans="1:4" ht="14.25" customHeight="1" x14ac:dyDescent="0.15">
      <c r="A116" s="21" t="s">
        <v>32</v>
      </c>
      <c r="B116" s="21">
        <v>45046</v>
      </c>
      <c r="C116" s="21" t="s">
        <v>56</v>
      </c>
      <c r="D116" s="22">
        <v>5500</v>
      </c>
    </row>
    <row r="117" spans="1:4" ht="14.25" customHeight="1" x14ac:dyDescent="0.15">
      <c r="A117" s="21" t="s">
        <v>32</v>
      </c>
      <c r="B117" s="21">
        <v>45045</v>
      </c>
      <c r="C117" s="21" t="s">
        <v>56</v>
      </c>
      <c r="D117" s="22">
        <v>5500</v>
      </c>
    </row>
    <row r="118" spans="1:4" ht="14.25" customHeight="1" x14ac:dyDescent="0.15">
      <c r="A118" s="21" t="s">
        <v>32</v>
      </c>
      <c r="B118" s="21">
        <v>45045</v>
      </c>
      <c r="C118" s="21" t="s">
        <v>56</v>
      </c>
      <c r="D118" s="22">
        <v>5500</v>
      </c>
    </row>
    <row r="119" spans="1:4" ht="14.25" customHeight="1" x14ac:dyDescent="0.15">
      <c r="A119" s="21" t="s">
        <v>32</v>
      </c>
      <c r="B119" s="21">
        <v>45045</v>
      </c>
      <c r="C119" s="21" t="s">
        <v>56</v>
      </c>
      <c r="D119" s="22">
        <v>5500</v>
      </c>
    </row>
    <row r="120" spans="1:4" ht="14.25" customHeight="1" x14ac:dyDescent="0.15">
      <c r="A120" s="21" t="s">
        <v>32</v>
      </c>
      <c r="B120" s="21">
        <v>45043</v>
      </c>
      <c r="C120" s="21" t="s">
        <v>56</v>
      </c>
      <c r="D120" s="22">
        <v>5500</v>
      </c>
    </row>
    <row r="121" spans="1:4" ht="14.25" customHeight="1" x14ac:dyDescent="0.15">
      <c r="A121" s="21" t="s">
        <v>32</v>
      </c>
      <c r="B121" s="21">
        <v>45042</v>
      </c>
      <c r="C121" s="21" t="s">
        <v>56</v>
      </c>
      <c r="D121" s="22">
        <v>5500</v>
      </c>
    </row>
    <row r="122" spans="1:4" ht="14.25" customHeight="1" x14ac:dyDescent="0.15">
      <c r="A122" s="21" t="s">
        <v>32</v>
      </c>
      <c r="B122" s="21">
        <v>45037</v>
      </c>
      <c r="C122" s="21" t="s">
        <v>56</v>
      </c>
      <c r="D122" s="22">
        <v>5500</v>
      </c>
    </row>
    <row r="123" spans="1:4" ht="14.25" customHeight="1" x14ac:dyDescent="0.15">
      <c r="A123" s="21" t="s">
        <v>32</v>
      </c>
      <c r="B123" s="21">
        <v>45034</v>
      </c>
      <c r="C123" s="21" t="s">
        <v>56</v>
      </c>
      <c r="D123" s="22">
        <v>5500</v>
      </c>
    </row>
    <row r="124" spans="1:4" ht="14.25" customHeight="1" x14ac:dyDescent="0.15">
      <c r="A124" s="21" t="s">
        <v>32</v>
      </c>
      <c r="B124" s="21">
        <v>45034</v>
      </c>
      <c r="C124" s="21" t="s">
        <v>56</v>
      </c>
      <c r="D124" s="22">
        <v>5500</v>
      </c>
    </row>
    <row r="125" spans="1:4" ht="14.25" customHeight="1" x14ac:dyDescent="0.15">
      <c r="A125" s="21" t="s">
        <v>32</v>
      </c>
      <c r="B125" s="21">
        <v>45033</v>
      </c>
      <c r="C125" s="21" t="s">
        <v>56</v>
      </c>
      <c r="D125" s="22">
        <v>5500</v>
      </c>
    </row>
    <row r="126" spans="1:4" ht="14.25" customHeight="1" x14ac:dyDescent="0.15">
      <c r="A126" s="21" t="s">
        <v>32</v>
      </c>
      <c r="B126" s="21">
        <v>45033</v>
      </c>
      <c r="C126" s="21" t="s">
        <v>56</v>
      </c>
      <c r="D126" s="22">
        <v>5500</v>
      </c>
    </row>
    <row r="127" spans="1:4" ht="14.25" customHeight="1" x14ac:dyDescent="0.15">
      <c r="A127" s="21" t="s">
        <v>32</v>
      </c>
      <c r="B127" s="21">
        <v>45033</v>
      </c>
      <c r="C127" s="21" t="s">
        <v>56</v>
      </c>
      <c r="D127" s="22">
        <v>5500</v>
      </c>
    </row>
    <row r="128" spans="1:4" ht="14.25" customHeight="1" x14ac:dyDescent="0.15">
      <c r="A128" s="21" t="s">
        <v>32</v>
      </c>
      <c r="B128" s="21">
        <v>45032</v>
      </c>
      <c r="C128" s="21" t="s">
        <v>56</v>
      </c>
      <c r="D128" s="22">
        <v>5500</v>
      </c>
    </row>
    <row r="129" spans="1:4" ht="14.25" customHeight="1" x14ac:dyDescent="0.15">
      <c r="A129" s="21" t="s">
        <v>32</v>
      </c>
      <c r="B129" s="21">
        <v>45032</v>
      </c>
      <c r="C129" s="21" t="s">
        <v>56</v>
      </c>
      <c r="D129" s="22">
        <v>5500</v>
      </c>
    </row>
    <row r="130" spans="1:4" ht="14.25" customHeight="1" x14ac:dyDescent="0.15">
      <c r="A130" s="21" t="s">
        <v>32</v>
      </c>
      <c r="B130" s="21">
        <v>45031</v>
      </c>
      <c r="C130" s="21" t="s">
        <v>56</v>
      </c>
      <c r="D130" s="22">
        <v>5500</v>
      </c>
    </row>
    <row r="131" spans="1:4" ht="14.25" customHeight="1" x14ac:dyDescent="0.15">
      <c r="A131" s="21" t="s">
        <v>32</v>
      </c>
      <c r="B131" s="21">
        <v>45031</v>
      </c>
      <c r="C131" s="21" t="s">
        <v>56</v>
      </c>
      <c r="D131" s="22">
        <v>5500</v>
      </c>
    </row>
    <row r="132" spans="1:4" ht="14.25" customHeight="1" x14ac:dyDescent="0.15">
      <c r="A132" s="21" t="s">
        <v>32</v>
      </c>
      <c r="B132" s="21">
        <v>45030</v>
      </c>
      <c r="C132" s="21" t="s">
        <v>56</v>
      </c>
      <c r="D132" s="22">
        <v>5500</v>
      </c>
    </row>
    <row r="133" spans="1:4" ht="14.25" customHeight="1" x14ac:dyDescent="0.15">
      <c r="A133" s="21" t="s">
        <v>32</v>
      </c>
      <c r="B133" s="21">
        <v>45030</v>
      </c>
      <c r="C133" s="21" t="s">
        <v>56</v>
      </c>
      <c r="D133" s="22">
        <v>5500</v>
      </c>
    </row>
    <row r="134" spans="1:4" ht="14.25" customHeight="1" x14ac:dyDescent="0.15">
      <c r="A134" s="21" t="s">
        <v>32</v>
      </c>
      <c r="B134" s="21">
        <v>45030</v>
      </c>
      <c r="C134" s="21" t="s">
        <v>56</v>
      </c>
      <c r="D134" s="22">
        <v>5500</v>
      </c>
    </row>
    <row r="135" spans="1:4" ht="14.25" customHeight="1" x14ac:dyDescent="0.15">
      <c r="A135" s="21" t="s">
        <v>32</v>
      </c>
      <c r="B135" s="21">
        <v>45030</v>
      </c>
      <c r="C135" s="21" t="s">
        <v>56</v>
      </c>
      <c r="D135" s="22">
        <v>5500</v>
      </c>
    </row>
    <row r="136" spans="1:4" ht="14.25" customHeight="1" x14ac:dyDescent="0.15">
      <c r="A136" s="21" t="s">
        <v>32</v>
      </c>
      <c r="B136" s="21">
        <v>45029</v>
      </c>
      <c r="C136" s="21" t="s">
        <v>56</v>
      </c>
      <c r="D136" s="22">
        <v>5500</v>
      </c>
    </row>
    <row r="137" spans="1:4" ht="14.25" customHeight="1" x14ac:dyDescent="0.15">
      <c r="A137" s="21" t="s">
        <v>32</v>
      </c>
      <c r="B137" s="21">
        <v>45028</v>
      </c>
      <c r="C137" s="21" t="s">
        <v>56</v>
      </c>
      <c r="D137" s="22">
        <v>5500</v>
      </c>
    </row>
    <row r="138" spans="1:4" ht="14.25" customHeight="1" x14ac:dyDescent="0.15">
      <c r="A138" s="21" t="s">
        <v>32</v>
      </c>
      <c r="B138" s="21">
        <v>45028</v>
      </c>
      <c r="C138" s="21" t="s">
        <v>56</v>
      </c>
      <c r="D138" s="22">
        <v>5500</v>
      </c>
    </row>
    <row r="139" spans="1:4" ht="14.25" customHeight="1" x14ac:dyDescent="0.15">
      <c r="A139" s="21" t="s">
        <v>32</v>
      </c>
      <c r="B139" s="21">
        <v>45028</v>
      </c>
      <c r="C139" s="21" t="s">
        <v>56</v>
      </c>
      <c r="D139" s="22">
        <v>5500</v>
      </c>
    </row>
    <row r="140" spans="1:4" ht="14.25" customHeight="1" x14ac:dyDescent="0.15">
      <c r="A140" s="21" t="s">
        <v>32</v>
      </c>
      <c r="B140" s="21">
        <v>45028</v>
      </c>
      <c r="C140" s="21" t="s">
        <v>56</v>
      </c>
      <c r="D140" s="22">
        <v>5500</v>
      </c>
    </row>
    <row r="141" spans="1:4" ht="14.25" customHeight="1" x14ac:dyDescent="0.15">
      <c r="A141" s="21" t="s">
        <v>32</v>
      </c>
      <c r="B141" s="21">
        <v>45028</v>
      </c>
      <c r="C141" s="21" t="s">
        <v>56</v>
      </c>
      <c r="D141" s="22">
        <v>5500</v>
      </c>
    </row>
    <row r="142" spans="1:4" ht="14.25" customHeight="1" x14ac:dyDescent="0.15">
      <c r="A142" s="21" t="s">
        <v>32</v>
      </c>
      <c r="B142" s="21">
        <v>45027</v>
      </c>
      <c r="C142" s="21" t="s">
        <v>56</v>
      </c>
      <c r="D142" s="22">
        <v>5500</v>
      </c>
    </row>
    <row r="143" spans="1:4" ht="14.25" customHeight="1" x14ac:dyDescent="0.15">
      <c r="A143" s="21" t="s">
        <v>32</v>
      </c>
      <c r="B143" s="21">
        <v>45026</v>
      </c>
      <c r="C143" s="21" t="s">
        <v>56</v>
      </c>
      <c r="D143" s="22">
        <v>5500</v>
      </c>
    </row>
    <row r="144" spans="1:4" ht="14.25" customHeight="1" x14ac:dyDescent="0.15">
      <c r="A144" s="21" t="s">
        <v>32</v>
      </c>
      <c r="B144" s="21">
        <v>45026</v>
      </c>
      <c r="C144" s="21" t="s">
        <v>56</v>
      </c>
      <c r="D144" s="22">
        <v>5500</v>
      </c>
    </row>
    <row r="145" spans="1:4" ht="14.25" customHeight="1" x14ac:dyDescent="0.15">
      <c r="A145" s="21" t="s">
        <v>32</v>
      </c>
      <c r="B145" s="21">
        <v>45023</v>
      </c>
      <c r="C145" s="21" t="s">
        <v>56</v>
      </c>
      <c r="D145" s="22">
        <v>5500</v>
      </c>
    </row>
    <row r="146" spans="1:4" ht="14.25" customHeight="1" x14ac:dyDescent="0.15">
      <c r="A146" s="21" t="s">
        <v>32</v>
      </c>
      <c r="B146" s="21">
        <v>45023</v>
      </c>
      <c r="C146" s="21" t="s">
        <v>56</v>
      </c>
      <c r="D146" s="22">
        <v>5500</v>
      </c>
    </row>
    <row r="147" spans="1:4" ht="14.25" customHeight="1" x14ac:dyDescent="0.15">
      <c r="A147" s="21" t="s">
        <v>32</v>
      </c>
      <c r="B147" s="21">
        <v>45023</v>
      </c>
      <c r="C147" s="21" t="s">
        <v>56</v>
      </c>
      <c r="D147" s="22">
        <v>5500</v>
      </c>
    </row>
    <row r="148" spans="1:4" ht="14.25" customHeight="1" x14ac:dyDescent="0.15">
      <c r="A148" s="21" t="s">
        <v>32</v>
      </c>
      <c r="B148" s="21">
        <v>45023</v>
      </c>
      <c r="C148" s="21" t="s">
        <v>56</v>
      </c>
      <c r="D148" s="22">
        <v>5500</v>
      </c>
    </row>
    <row r="149" spans="1:4" ht="14.25" customHeight="1" x14ac:dyDescent="0.15">
      <c r="A149" s="21" t="s">
        <v>32</v>
      </c>
      <c r="B149" s="21">
        <v>45023</v>
      </c>
      <c r="C149" s="21" t="s">
        <v>56</v>
      </c>
      <c r="D149" s="22">
        <v>5500</v>
      </c>
    </row>
    <row r="150" spans="1:4" ht="14.25" customHeight="1" x14ac:dyDescent="0.15">
      <c r="A150" s="21" t="s">
        <v>32</v>
      </c>
      <c r="B150" s="21">
        <v>45023</v>
      </c>
      <c r="C150" s="21" t="s">
        <v>56</v>
      </c>
      <c r="D150" s="22">
        <v>5500</v>
      </c>
    </row>
    <row r="151" spans="1:4" ht="14.25" customHeight="1" x14ac:dyDescent="0.15">
      <c r="A151" s="21" t="s">
        <v>32</v>
      </c>
      <c r="B151" s="21">
        <v>45023</v>
      </c>
      <c r="C151" s="21" t="s">
        <v>56</v>
      </c>
      <c r="D151" s="22">
        <v>5500</v>
      </c>
    </row>
    <row r="152" spans="1:4" ht="14.25" customHeight="1" x14ac:dyDescent="0.15">
      <c r="A152" s="21" t="s">
        <v>32</v>
      </c>
      <c r="B152" s="21">
        <v>45023</v>
      </c>
      <c r="C152" s="21" t="s">
        <v>56</v>
      </c>
      <c r="D152" s="22">
        <v>5500</v>
      </c>
    </row>
    <row r="153" spans="1:4" ht="14.25" customHeight="1" x14ac:dyDescent="0.15">
      <c r="A153" s="21" t="s">
        <v>32</v>
      </c>
      <c r="B153" s="21">
        <v>45023</v>
      </c>
      <c r="C153" s="21" t="s">
        <v>56</v>
      </c>
      <c r="D153" s="22">
        <v>5500</v>
      </c>
    </row>
    <row r="154" spans="1:4" ht="14.25" customHeight="1" x14ac:dyDescent="0.15">
      <c r="A154" s="21" t="s">
        <v>32</v>
      </c>
      <c r="B154" s="21">
        <v>45023</v>
      </c>
      <c r="C154" s="21" t="s">
        <v>56</v>
      </c>
      <c r="D154" s="22">
        <v>5500</v>
      </c>
    </row>
    <row r="155" spans="1:4" ht="14.25" customHeight="1" x14ac:dyDescent="0.15">
      <c r="A155" s="21" t="s">
        <v>32</v>
      </c>
      <c r="B155" s="21">
        <v>45023</v>
      </c>
      <c r="C155" s="21" t="s">
        <v>56</v>
      </c>
      <c r="D155" s="22">
        <v>5500</v>
      </c>
    </row>
    <row r="156" spans="1:4" ht="14.25" customHeight="1" x14ac:dyDescent="0.15">
      <c r="A156" s="21" t="s">
        <v>32</v>
      </c>
      <c r="B156" s="21">
        <v>45022</v>
      </c>
      <c r="C156" s="21" t="s">
        <v>56</v>
      </c>
      <c r="D156" s="22">
        <v>5500</v>
      </c>
    </row>
    <row r="157" spans="1:4" ht="14.25" customHeight="1" x14ac:dyDescent="0.15">
      <c r="A157" s="21" t="s">
        <v>32</v>
      </c>
      <c r="B157" s="21">
        <v>45022</v>
      </c>
      <c r="C157" s="21" t="s">
        <v>56</v>
      </c>
      <c r="D157" s="22">
        <v>5500</v>
      </c>
    </row>
    <row r="158" spans="1:4" ht="14.25" customHeight="1" x14ac:dyDescent="0.15">
      <c r="A158" s="21" t="s">
        <v>32</v>
      </c>
      <c r="B158" s="21">
        <v>45022</v>
      </c>
      <c r="C158" s="21" t="s">
        <v>56</v>
      </c>
      <c r="D158" s="22">
        <v>5500</v>
      </c>
    </row>
    <row r="159" spans="1:4" ht="14.25" customHeight="1" x14ac:dyDescent="0.15">
      <c r="A159" s="21" t="s">
        <v>32</v>
      </c>
      <c r="B159" s="21">
        <v>45022</v>
      </c>
      <c r="C159" s="21" t="s">
        <v>56</v>
      </c>
      <c r="D159" s="22">
        <v>5500</v>
      </c>
    </row>
    <row r="160" spans="1:4" ht="14.25" customHeight="1" x14ac:dyDescent="0.15">
      <c r="A160" s="21" t="s">
        <v>32</v>
      </c>
      <c r="B160" s="21">
        <v>45022</v>
      </c>
      <c r="C160" s="21" t="s">
        <v>56</v>
      </c>
      <c r="D160" s="22">
        <v>5500</v>
      </c>
    </row>
    <row r="161" spans="1:4" ht="14.25" customHeight="1" x14ac:dyDescent="0.15">
      <c r="A161" s="21" t="s">
        <v>32</v>
      </c>
      <c r="B161" s="21">
        <v>45022</v>
      </c>
      <c r="C161" s="21" t="s">
        <v>56</v>
      </c>
      <c r="D161" s="22">
        <v>5500</v>
      </c>
    </row>
    <row r="162" spans="1:4" ht="14.25" customHeight="1" x14ac:dyDescent="0.15">
      <c r="A162" s="21" t="s">
        <v>32</v>
      </c>
      <c r="B162" s="21">
        <v>45022</v>
      </c>
      <c r="C162" s="21" t="s">
        <v>56</v>
      </c>
      <c r="D162" s="22">
        <v>5500</v>
      </c>
    </row>
    <row r="163" spans="1:4" ht="14.25" customHeight="1" x14ac:dyDescent="0.15">
      <c r="A163" s="21" t="s">
        <v>32</v>
      </c>
      <c r="B163" s="21">
        <v>45022</v>
      </c>
      <c r="C163" s="21" t="s">
        <v>56</v>
      </c>
      <c r="D163" s="22">
        <v>5500</v>
      </c>
    </row>
    <row r="164" spans="1:4" ht="14.25" customHeight="1" x14ac:dyDescent="0.15">
      <c r="A164" s="21" t="s">
        <v>32</v>
      </c>
      <c r="B164" s="21">
        <v>45022</v>
      </c>
      <c r="C164" s="21" t="s">
        <v>56</v>
      </c>
      <c r="D164" s="22">
        <v>5500</v>
      </c>
    </row>
    <row r="165" spans="1:4" ht="14.25" customHeight="1" x14ac:dyDescent="0.15">
      <c r="A165" s="21" t="s">
        <v>32</v>
      </c>
      <c r="B165" s="21">
        <v>45021</v>
      </c>
      <c r="C165" s="21" t="s">
        <v>56</v>
      </c>
      <c r="D165" s="22">
        <v>5500</v>
      </c>
    </row>
    <row r="166" spans="1:4" ht="14.25" customHeight="1" x14ac:dyDescent="0.15">
      <c r="A166" s="21" t="s">
        <v>32</v>
      </c>
      <c r="B166" s="21">
        <v>45021</v>
      </c>
      <c r="C166" s="21" t="s">
        <v>56</v>
      </c>
      <c r="D166" s="22">
        <v>5500</v>
      </c>
    </row>
    <row r="167" spans="1:4" ht="14.25" customHeight="1" x14ac:dyDescent="0.15">
      <c r="A167" s="21" t="s">
        <v>32</v>
      </c>
      <c r="B167" s="21">
        <v>45021</v>
      </c>
      <c r="C167" s="21" t="s">
        <v>56</v>
      </c>
      <c r="D167" s="22">
        <v>5500</v>
      </c>
    </row>
    <row r="168" spans="1:4" ht="14.25" customHeight="1" x14ac:dyDescent="0.15">
      <c r="A168" s="21" t="s">
        <v>32</v>
      </c>
      <c r="B168" s="21">
        <v>45021</v>
      </c>
      <c r="C168" s="21" t="s">
        <v>56</v>
      </c>
      <c r="D168" s="22">
        <v>5500</v>
      </c>
    </row>
    <row r="169" spans="1:4" ht="14.25" customHeight="1" x14ac:dyDescent="0.15">
      <c r="A169" s="21" t="s">
        <v>32</v>
      </c>
      <c r="B169" s="21">
        <v>45021</v>
      </c>
      <c r="C169" s="21" t="s">
        <v>56</v>
      </c>
      <c r="D169" s="22">
        <v>5500</v>
      </c>
    </row>
    <row r="170" spans="1:4" ht="14.25" customHeight="1" x14ac:dyDescent="0.15">
      <c r="A170" s="21" t="s">
        <v>32</v>
      </c>
      <c r="B170" s="21">
        <v>45021</v>
      </c>
      <c r="C170" s="21" t="s">
        <v>56</v>
      </c>
      <c r="D170" s="22">
        <v>5500</v>
      </c>
    </row>
    <row r="171" spans="1:4" ht="14.25" customHeight="1" x14ac:dyDescent="0.15">
      <c r="A171" s="21" t="s">
        <v>32</v>
      </c>
      <c r="B171" s="21">
        <v>45021</v>
      </c>
      <c r="C171" s="21" t="s">
        <v>56</v>
      </c>
      <c r="D171" s="22">
        <v>5500</v>
      </c>
    </row>
    <row r="172" spans="1:4" ht="14.25" customHeight="1" x14ac:dyDescent="0.15">
      <c r="A172" s="21" t="s">
        <v>32</v>
      </c>
      <c r="B172" s="21">
        <v>45021</v>
      </c>
      <c r="C172" s="21" t="s">
        <v>56</v>
      </c>
      <c r="D172" s="22">
        <v>5500</v>
      </c>
    </row>
    <row r="173" spans="1:4" ht="14.25" customHeight="1" x14ac:dyDescent="0.15">
      <c r="A173" s="21" t="s">
        <v>32</v>
      </c>
      <c r="B173" s="21">
        <v>45021</v>
      </c>
      <c r="C173" s="21" t="s">
        <v>56</v>
      </c>
      <c r="D173" s="22">
        <v>5500</v>
      </c>
    </row>
    <row r="174" spans="1:4" ht="14.25" customHeight="1" x14ac:dyDescent="0.15">
      <c r="A174" s="21" t="s">
        <v>32</v>
      </c>
      <c r="B174" s="21">
        <v>45021</v>
      </c>
      <c r="C174" s="21" t="s">
        <v>56</v>
      </c>
      <c r="D174" s="22">
        <v>5500</v>
      </c>
    </row>
    <row r="175" spans="1:4" ht="14.25" customHeight="1" x14ac:dyDescent="0.15">
      <c r="A175" s="21" t="s">
        <v>32</v>
      </c>
      <c r="B175" s="21">
        <v>45021</v>
      </c>
      <c r="C175" s="21" t="s">
        <v>56</v>
      </c>
      <c r="D175" s="22">
        <v>5500</v>
      </c>
    </row>
    <row r="176" spans="1:4" ht="14.25" customHeight="1" x14ac:dyDescent="0.15">
      <c r="A176" s="21" t="s">
        <v>32</v>
      </c>
      <c r="B176" s="21">
        <v>45021</v>
      </c>
      <c r="C176" s="21" t="s">
        <v>56</v>
      </c>
      <c r="D176" s="22">
        <v>5500</v>
      </c>
    </row>
    <row r="177" spans="1:4" ht="14.25" customHeight="1" x14ac:dyDescent="0.15">
      <c r="A177" s="21" t="s">
        <v>32</v>
      </c>
      <c r="B177" s="21">
        <v>45020</v>
      </c>
      <c r="C177" s="21" t="s">
        <v>56</v>
      </c>
      <c r="D177" s="22">
        <v>5500</v>
      </c>
    </row>
    <row r="178" spans="1:4" ht="14.25" customHeight="1" x14ac:dyDescent="0.15">
      <c r="A178" s="21" t="s">
        <v>32</v>
      </c>
      <c r="B178" s="21">
        <v>45020</v>
      </c>
      <c r="C178" s="21" t="s">
        <v>56</v>
      </c>
      <c r="D178" s="22">
        <v>5500</v>
      </c>
    </row>
    <row r="179" spans="1:4" ht="14.25" customHeight="1" x14ac:dyDescent="0.15">
      <c r="A179" s="21" t="s">
        <v>32</v>
      </c>
      <c r="B179" s="21">
        <v>45020</v>
      </c>
      <c r="C179" s="21" t="s">
        <v>56</v>
      </c>
      <c r="D179" s="22">
        <v>5500</v>
      </c>
    </row>
    <row r="180" spans="1:4" ht="14.25" customHeight="1" x14ac:dyDescent="0.15">
      <c r="A180" s="21" t="s">
        <v>32</v>
      </c>
      <c r="B180" s="21">
        <v>45020</v>
      </c>
      <c r="C180" s="21" t="s">
        <v>56</v>
      </c>
      <c r="D180" s="22">
        <v>5500</v>
      </c>
    </row>
    <row r="181" spans="1:4" ht="14.25" customHeight="1" x14ac:dyDescent="0.15">
      <c r="A181" s="21" t="s">
        <v>32</v>
      </c>
      <c r="B181" s="21">
        <v>45020</v>
      </c>
      <c r="C181" s="21" t="s">
        <v>56</v>
      </c>
      <c r="D181" s="22">
        <v>5500</v>
      </c>
    </row>
    <row r="182" spans="1:4" ht="14.25" customHeight="1" x14ac:dyDescent="0.15">
      <c r="A182" s="21" t="s">
        <v>32</v>
      </c>
      <c r="B182" s="21">
        <v>45020</v>
      </c>
      <c r="C182" s="21" t="s">
        <v>56</v>
      </c>
      <c r="D182" s="22">
        <v>5500</v>
      </c>
    </row>
    <row r="183" spans="1:4" ht="14.25" customHeight="1" x14ac:dyDescent="0.15">
      <c r="A183" s="21" t="s">
        <v>32</v>
      </c>
      <c r="B183" s="21">
        <v>45020</v>
      </c>
      <c r="C183" s="21" t="s">
        <v>56</v>
      </c>
      <c r="D183" s="22">
        <v>5500</v>
      </c>
    </row>
    <row r="184" spans="1:4" ht="14.25" customHeight="1" x14ac:dyDescent="0.15">
      <c r="A184" s="21" t="s">
        <v>32</v>
      </c>
      <c r="B184" s="21">
        <v>45020</v>
      </c>
      <c r="C184" s="21" t="s">
        <v>56</v>
      </c>
      <c r="D184" s="22">
        <v>5500</v>
      </c>
    </row>
    <row r="185" spans="1:4" ht="14.25" customHeight="1" x14ac:dyDescent="0.15">
      <c r="A185" s="21" t="s">
        <v>32</v>
      </c>
      <c r="B185" s="21">
        <v>45020</v>
      </c>
      <c r="C185" s="21" t="s">
        <v>56</v>
      </c>
      <c r="D185" s="22">
        <v>5500</v>
      </c>
    </row>
    <row r="186" spans="1:4" ht="14.25" customHeight="1" x14ac:dyDescent="0.15">
      <c r="A186" s="21" t="s">
        <v>32</v>
      </c>
      <c r="B186" s="21">
        <v>45020</v>
      </c>
      <c r="C186" s="21" t="s">
        <v>56</v>
      </c>
      <c r="D186" s="22">
        <v>5500</v>
      </c>
    </row>
    <row r="187" spans="1:4" ht="14.25" customHeight="1" x14ac:dyDescent="0.15">
      <c r="A187" s="21" t="s">
        <v>32</v>
      </c>
      <c r="B187" s="21">
        <v>45020</v>
      </c>
      <c r="C187" s="21" t="s">
        <v>56</v>
      </c>
      <c r="D187" s="22">
        <v>5500</v>
      </c>
    </row>
    <row r="188" spans="1:4" ht="14.25" customHeight="1" x14ac:dyDescent="0.15">
      <c r="A188" s="21" t="s">
        <v>32</v>
      </c>
      <c r="B188" s="21">
        <v>45020</v>
      </c>
      <c r="C188" s="21" t="s">
        <v>56</v>
      </c>
      <c r="D188" s="22">
        <v>5500</v>
      </c>
    </row>
    <row r="189" spans="1:4" ht="14.25" customHeight="1" x14ac:dyDescent="0.15">
      <c r="A189" s="21" t="s">
        <v>32</v>
      </c>
      <c r="B189" s="21">
        <v>45020</v>
      </c>
      <c r="C189" s="21" t="s">
        <v>56</v>
      </c>
      <c r="D189" s="22">
        <v>5500</v>
      </c>
    </row>
    <row r="190" spans="1:4" ht="14.25" customHeight="1" x14ac:dyDescent="0.15">
      <c r="A190" s="21" t="s">
        <v>32</v>
      </c>
      <c r="B190" s="21">
        <v>45019</v>
      </c>
      <c r="C190" s="21" t="s">
        <v>56</v>
      </c>
      <c r="D190" s="22">
        <v>5500</v>
      </c>
    </row>
    <row r="191" spans="1:4" ht="14.25" customHeight="1" x14ac:dyDescent="0.15">
      <c r="A191" s="21" t="s">
        <v>32</v>
      </c>
      <c r="B191" s="21">
        <v>45019</v>
      </c>
      <c r="C191" s="21" t="s">
        <v>56</v>
      </c>
      <c r="D191" s="22">
        <v>5500</v>
      </c>
    </row>
    <row r="192" spans="1:4" ht="14.25" customHeight="1" x14ac:dyDescent="0.15">
      <c r="A192" s="21" t="s">
        <v>32</v>
      </c>
      <c r="B192" s="21">
        <v>45019</v>
      </c>
      <c r="C192" s="21" t="s">
        <v>56</v>
      </c>
      <c r="D192" s="22">
        <v>5500</v>
      </c>
    </row>
    <row r="193" spans="1:4" ht="14.25" customHeight="1" x14ac:dyDescent="0.15">
      <c r="A193" s="21" t="s">
        <v>32</v>
      </c>
      <c r="B193" s="21">
        <v>45019</v>
      </c>
      <c r="C193" s="21" t="s">
        <v>56</v>
      </c>
      <c r="D193" s="22">
        <v>5500</v>
      </c>
    </row>
    <row r="194" spans="1:4" ht="14.25" customHeight="1" x14ac:dyDescent="0.15">
      <c r="A194" s="21" t="s">
        <v>32</v>
      </c>
      <c r="B194" s="21">
        <v>45019</v>
      </c>
      <c r="C194" s="21" t="s">
        <v>56</v>
      </c>
      <c r="D194" s="22">
        <v>5500</v>
      </c>
    </row>
    <row r="195" spans="1:4" ht="14.25" customHeight="1" x14ac:dyDescent="0.15">
      <c r="A195" s="21" t="s">
        <v>32</v>
      </c>
      <c r="B195" s="21">
        <v>45019</v>
      </c>
      <c r="C195" s="21" t="s">
        <v>56</v>
      </c>
      <c r="D195" s="22">
        <v>5500</v>
      </c>
    </row>
    <row r="196" spans="1:4" ht="14.25" customHeight="1" x14ac:dyDescent="0.15">
      <c r="A196" s="21" t="s">
        <v>32</v>
      </c>
      <c r="B196" s="21">
        <v>45019</v>
      </c>
      <c r="C196" s="21" t="s">
        <v>56</v>
      </c>
      <c r="D196" s="22">
        <v>5500</v>
      </c>
    </row>
    <row r="197" spans="1:4" ht="14.25" customHeight="1" x14ac:dyDescent="0.15">
      <c r="A197" s="21" t="s">
        <v>32</v>
      </c>
      <c r="B197" s="21">
        <v>45019</v>
      </c>
      <c r="C197" s="21" t="s">
        <v>56</v>
      </c>
      <c r="D197" s="22">
        <v>5500</v>
      </c>
    </row>
    <row r="198" spans="1:4" ht="14.25" customHeight="1" x14ac:dyDescent="0.15">
      <c r="A198" s="21" t="s">
        <v>32</v>
      </c>
      <c r="B198" s="21">
        <v>45019</v>
      </c>
      <c r="C198" s="21" t="s">
        <v>56</v>
      </c>
      <c r="D198" s="22">
        <v>5500</v>
      </c>
    </row>
    <row r="199" spans="1:4" ht="14.25" customHeight="1" x14ac:dyDescent="0.15">
      <c r="A199" s="21" t="s">
        <v>32</v>
      </c>
      <c r="B199" s="21">
        <v>45019</v>
      </c>
      <c r="C199" s="21" t="s">
        <v>56</v>
      </c>
      <c r="D199" s="22">
        <v>5500</v>
      </c>
    </row>
    <row r="200" spans="1:4" ht="14.25" customHeight="1" x14ac:dyDescent="0.15">
      <c r="A200" s="21" t="s">
        <v>32</v>
      </c>
      <c r="B200" s="21">
        <v>45019</v>
      </c>
      <c r="C200" s="21" t="s">
        <v>56</v>
      </c>
      <c r="D200" s="22">
        <v>5500</v>
      </c>
    </row>
    <row r="201" spans="1:4" ht="14.25" customHeight="1" x14ac:dyDescent="0.15">
      <c r="A201" s="21" t="s">
        <v>32</v>
      </c>
      <c r="B201" s="21">
        <v>45019</v>
      </c>
      <c r="C201" s="21" t="s">
        <v>56</v>
      </c>
      <c r="D201" s="22">
        <v>5500</v>
      </c>
    </row>
    <row r="202" spans="1:4" ht="14.25" customHeight="1" x14ac:dyDescent="0.15">
      <c r="A202" s="21" t="s">
        <v>32</v>
      </c>
      <c r="B202" s="21">
        <v>45019</v>
      </c>
      <c r="C202" s="21" t="s">
        <v>56</v>
      </c>
      <c r="D202" s="22">
        <v>5500</v>
      </c>
    </row>
    <row r="203" spans="1:4" ht="14.25" customHeight="1" x14ac:dyDescent="0.15">
      <c r="A203" s="21" t="s">
        <v>32</v>
      </c>
      <c r="B203" s="21">
        <v>45019</v>
      </c>
      <c r="C203" s="21" t="s">
        <v>56</v>
      </c>
      <c r="D203" s="22">
        <v>5500</v>
      </c>
    </row>
    <row r="204" spans="1:4" ht="14.25" customHeight="1" x14ac:dyDescent="0.15">
      <c r="A204" s="21" t="s">
        <v>32</v>
      </c>
      <c r="B204" s="21">
        <v>45019</v>
      </c>
      <c r="C204" s="21" t="s">
        <v>56</v>
      </c>
      <c r="D204" s="22">
        <v>5500</v>
      </c>
    </row>
    <row r="205" spans="1:4" ht="14.25" customHeight="1" x14ac:dyDescent="0.15">
      <c r="A205" s="21" t="s">
        <v>32</v>
      </c>
      <c r="B205" s="21">
        <v>45019</v>
      </c>
      <c r="C205" s="21" t="s">
        <v>56</v>
      </c>
      <c r="D205" s="22">
        <v>5500</v>
      </c>
    </row>
    <row r="206" spans="1:4" ht="14.25" customHeight="1" x14ac:dyDescent="0.15">
      <c r="A206" s="21" t="s">
        <v>32</v>
      </c>
      <c r="B206" s="21">
        <v>45019</v>
      </c>
      <c r="C206" s="21" t="s">
        <v>56</v>
      </c>
      <c r="D206" s="22">
        <v>5500</v>
      </c>
    </row>
    <row r="207" spans="1:4" ht="14.25" customHeight="1" x14ac:dyDescent="0.15">
      <c r="A207" s="21" t="s">
        <v>32</v>
      </c>
      <c r="B207" s="21">
        <v>45019</v>
      </c>
      <c r="C207" s="21" t="s">
        <v>56</v>
      </c>
      <c r="D207" s="22">
        <v>5500</v>
      </c>
    </row>
    <row r="208" spans="1:4" ht="14.25" customHeight="1" x14ac:dyDescent="0.15">
      <c r="A208" s="21" t="s">
        <v>32</v>
      </c>
      <c r="B208" s="21">
        <v>45019</v>
      </c>
      <c r="C208" s="21" t="s">
        <v>56</v>
      </c>
      <c r="D208" s="22">
        <v>5500</v>
      </c>
    </row>
    <row r="209" spans="1:4" ht="14.25" customHeight="1" x14ac:dyDescent="0.15">
      <c r="A209" s="21" t="s">
        <v>32</v>
      </c>
      <c r="B209" s="21">
        <v>45019</v>
      </c>
      <c r="C209" s="21" t="s">
        <v>56</v>
      </c>
      <c r="D209" s="22">
        <v>5500</v>
      </c>
    </row>
    <row r="210" spans="1:4" ht="14.25" customHeight="1" x14ac:dyDescent="0.15">
      <c r="A210" s="21" t="s">
        <v>32</v>
      </c>
      <c r="B210" s="21">
        <v>45019</v>
      </c>
      <c r="C210" s="21" t="s">
        <v>56</v>
      </c>
      <c r="D210" s="22">
        <v>5500</v>
      </c>
    </row>
    <row r="211" spans="1:4" ht="14.25" customHeight="1" x14ac:dyDescent="0.15">
      <c r="A211" s="21" t="s">
        <v>32</v>
      </c>
      <c r="B211" s="21">
        <v>45019</v>
      </c>
      <c r="C211" s="21" t="s">
        <v>56</v>
      </c>
      <c r="D211" s="22">
        <v>5500</v>
      </c>
    </row>
    <row r="212" spans="1:4" ht="14.25" customHeight="1" x14ac:dyDescent="0.15">
      <c r="A212" s="21" t="s">
        <v>32</v>
      </c>
      <c r="B212" s="21">
        <v>45019</v>
      </c>
      <c r="C212" s="21" t="s">
        <v>56</v>
      </c>
      <c r="D212" s="22">
        <v>5500</v>
      </c>
    </row>
    <row r="213" spans="1:4" ht="14.25" customHeight="1" x14ac:dyDescent="0.15">
      <c r="A213" s="21" t="s">
        <v>32</v>
      </c>
      <c r="B213" s="21">
        <v>45019</v>
      </c>
      <c r="C213" s="21" t="s">
        <v>56</v>
      </c>
      <c r="D213" s="22">
        <v>5500</v>
      </c>
    </row>
    <row r="214" spans="1:4" ht="14.25" customHeight="1" x14ac:dyDescent="0.15">
      <c r="A214" s="21" t="s">
        <v>32</v>
      </c>
      <c r="B214" s="21">
        <v>45019</v>
      </c>
      <c r="C214" s="21" t="s">
        <v>56</v>
      </c>
      <c r="D214" s="22">
        <v>5500</v>
      </c>
    </row>
    <row r="215" spans="1:4" ht="14.25" customHeight="1" x14ac:dyDescent="0.15">
      <c r="A215" s="21" t="s">
        <v>32</v>
      </c>
      <c r="B215" s="21">
        <v>45019</v>
      </c>
      <c r="C215" s="21" t="s">
        <v>56</v>
      </c>
      <c r="D215" s="22">
        <v>5500</v>
      </c>
    </row>
    <row r="216" spans="1:4" ht="14.25" customHeight="1" x14ac:dyDescent="0.15">
      <c r="A216" s="21" t="s">
        <v>32</v>
      </c>
      <c r="B216" s="21">
        <v>45019</v>
      </c>
      <c r="C216" s="21" t="s">
        <v>56</v>
      </c>
      <c r="D216" s="22">
        <v>5500</v>
      </c>
    </row>
    <row r="217" spans="1:4" ht="14.25" customHeight="1" x14ac:dyDescent="0.15">
      <c r="A217" s="21" t="s">
        <v>32</v>
      </c>
      <c r="B217" s="21">
        <v>45018</v>
      </c>
      <c r="C217" s="21" t="s">
        <v>56</v>
      </c>
      <c r="D217" s="22">
        <v>5500</v>
      </c>
    </row>
    <row r="218" spans="1:4" ht="14.25" customHeight="1" x14ac:dyDescent="0.15">
      <c r="A218" s="21" t="s">
        <v>32</v>
      </c>
      <c r="B218" s="21">
        <v>45018</v>
      </c>
      <c r="C218" s="21" t="s">
        <v>56</v>
      </c>
      <c r="D218" s="22">
        <v>5500</v>
      </c>
    </row>
    <row r="219" spans="1:4" ht="14.25" customHeight="1" x14ac:dyDescent="0.15">
      <c r="A219" s="21" t="s">
        <v>32</v>
      </c>
      <c r="B219" s="21">
        <v>45018</v>
      </c>
      <c r="C219" s="21" t="s">
        <v>56</v>
      </c>
      <c r="D219" s="22">
        <v>5500</v>
      </c>
    </row>
    <row r="220" spans="1:4" ht="14.25" customHeight="1" x14ac:dyDescent="0.15">
      <c r="A220" s="21" t="s">
        <v>32</v>
      </c>
      <c r="B220" s="21">
        <v>45096</v>
      </c>
      <c r="C220" s="21" t="s">
        <v>56</v>
      </c>
      <c r="D220" s="22">
        <v>4500.1000000000004</v>
      </c>
    </row>
    <row r="221" spans="1:4" ht="14.25" customHeight="1" x14ac:dyDescent="0.15">
      <c r="A221" s="21" t="s">
        <v>32</v>
      </c>
      <c r="B221" s="21">
        <v>45095</v>
      </c>
      <c r="C221" s="21" t="s">
        <v>56</v>
      </c>
      <c r="D221" s="22">
        <v>4500.1000000000004</v>
      </c>
    </row>
    <row r="222" spans="1:4" ht="14.25" customHeight="1" x14ac:dyDescent="0.15">
      <c r="A222" s="21" t="s">
        <v>32</v>
      </c>
      <c r="B222" s="21">
        <v>45094</v>
      </c>
      <c r="C222" s="21" t="s">
        <v>56</v>
      </c>
      <c r="D222" s="22">
        <v>4500.1000000000004</v>
      </c>
    </row>
    <row r="223" spans="1:4" ht="14.25" customHeight="1" x14ac:dyDescent="0.15">
      <c r="A223" s="21" t="s">
        <v>32</v>
      </c>
      <c r="B223" s="21">
        <v>45093</v>
      </c>
      <c r="C223" s="21" t="s">
        <v>56</v>
      </c>
      <c r="D223" s="22">
        <v>4500.1000000000004</v>
      </c>
    </row>
    <row r="224" spans="1:4" ht="14.25" customHeight="1" x14ac:dyDescent="0.15">
      <c r="A224" s="21" t="s">
        <v>32</v>
      </c>
      <c r="B224" s="21">
        <v>45092</v>
      </c>
      <c r="C224" s="21" t="s">
        <v>56</v>
      </c>
      <c r="D224" s="22">
        <v>4500.1000000000004</v>
      </c>
    </row>
    <row r="225" spans="1:4" ht="14.25" customHeight="1" x14ac:dyDescent="0.15">
      <c r="A225" s="21" t="s">
        <v>32</v>
      </c>
      <c r="B225" s="21">
        <v>45118</v>
      </c>
      <c r="C225" s="21" t="s">
        <v>57</v>
      </c>
      <c r="D225" s="22">
        <v>4239.28</v>
      </c>
    </row>
    <row r="226" spans="1:4" ht="14.25" customHeight="1" x14ac:dyDescent="0.15">
      <c r="A226" s="21" t="s">
        <v>32</v>
      </c>
      <c r="B226" s="21">
        <v>45075</v>
      </c>
      <c r="C226" s="21" t="s">
        <v>58</v>
      </c>
      <c r="D226" s="22">
        <v>1716</v>
      </c>
    </row>
    <row r="227" spans="1:4" ht="14.25" customHeight="1" x14ac:dyDescent="0.15">
      <c r="A227" s="21" t="s">
        <v>32</v>
      </c>
      <c r="B227" s="21">
        <v>45074</v>
      </c>
      <c r="C227" s="21" t="s">
        <v>58</v>
      </c>
      <c r="D227" s="22">
        <v>1715</v>
      </c>
    </row>
    <row r="228" spans="1:4" ht="14.25" customHeight="1" x14ac:dyDescent="0.15">
      <c r="A228" s="21" t="s">
        <v>32</v>
      </c>
      <c r="B228" s="21">
        <v>45084</v>
      </c>
      <c r="C228" s="21" t="s">
        <v>58</v>
      </c>
      <c r="D228" s="22">
        <v>1710</v>
      </c>
    </row>
    <row r="229" spans="1:4" ht="14.25" customHeight="1" x14ac:dyDescent="0.15">
      <c r="A229" s="21" t="s">
        <v>32</v>
      </c>
      <c r="B229" s="21">
        <v>45061</v>
      </c>
      <c r="C229" s="21" t="s">
        <v>58</v>
      </c>
      <c r="D229" s="22">
        <v>1691</v>
      </c>
    </row>
    <row r="230" spans="1:4" ht="14.25" customHeight="1" x14ac:dyDescent="0.15">
      <c r="A230" s="21" t="s">
        <v>32</v>
      </c>
      <c r="B230" s="21">
        <v>45044</v>
      </c>
      <c r="C230" s="21" t="s">
        <v>58</v>
      </c>
      <c r="D230" s="22">
        <v>1690</v>
      </c>
    </row>
    <row r="231" spans="1:4" ht="14.25" customHeight="1" x14ac:dyDescent="0.15">
      <c r="A231" s="21" t="s">
        <v>32</v>
      </c>
      <c r="B231" s="21">
        <v>45040</v>
      </c>
      <c r="C231" s="21" t="s">
        <v>58</v>
      </c>
      <c r="D231" s="22">
        <v>1683</v>
      </c>
    </row>
    <row r="232" spans="1:4" ht="14.25" customHeight="1" x14ac:dyDescent="0.15">
      <c r="A232" s="21" t="s">
        <v>32</v>
      </c>
      <c r="B232" s="21">
        <v>45030</v>
      </c>
      <c r="C232" s="21" t="s">
        <v>58</v>
      </c>
      <c r="D232" s="22">
        <v>1672</v>
      </c>
    </row>
    <row r="233" spans="1:4" ht="14.25" customHeight="1" x14ac:dyDescent="0.15">
      <c r="A233" s="21" t="s">
        <v>32</v>
      </c>
      <c r="B233" s="21">
        <v>45026</v>
      </c>
      <c r="C233" s="21" t="s">
        <v>58</v>
      </c>
      <c r="D233" s="22">
        <v>1661</v>
      </c>
    </row>
    <row r="234" spans="1:4" ht="14.25" customHeight="1" x14ac:dyDescent="0.15">
      <c r="A234" s="21" t="s">
        <v>32</v>
      </c>
      <c r="B234" s="21">
        <v>45032</v>
      </c>
      <c r="C234" s="21" t="s">
        <v>58</v>
      </c>
      <c r="D234" s="22">
        <v>1658</v>
      </c>
    </row>
    <row r="235" spans="1:4" ht="14.25" customHeight="1" x14ac:dyDescent="0.15">
      <c r="A235" s="21" t="s">
        <v>32</v>
      </c>
      <c r="B235" s="21">
        <v>45022</v>
      </c>
      <c r="C235" s="21" t="s">
        <v>58</v>
      </c>
      <c r="D235" s="22">
        <v>1657</v>
      </c>
    </row>
    <row r="236" spans="1:4" ht="14.25" customHeight="1" x14ac:dyDescent="0.15">
      <c r="A236" s="21" t="s">
        <v>32</v>
      </c>
      <c r="B236" s="21">
        <v>45020</v>
      </c>
      <c r="C236" s="21" t="s">
        <v>58</v>
      </c>
      <c r="D236" s="22">
        <v>1648</v>
      </c>
    </row>
    <row r="237" spans="1:4" ht="14.25" customHeight="1" x14ac:dyDescent="0.15">
      <c r="A237" s="21" t="s">
        <v>32</v>
      </c>
      <c r="B237" s="21">
        <v>45020</v>
      </c>
      <c r="C237" s="21" t="s">
        <v>58</v>
      </c>
      <c r="D237" s="22">
        <v>1648</v>
      </c>
    </row>
    <row r="238" spans="1:4" ht="14.25" customHeight="1" x14ac:dyDescent="0.15">
      <c r="A238" s="21" t="s">
        <v>32</v>
      </c>
      <c r="B238" s="21">
        <v>45090</v>
      </c>
      <c r="C238" s="21" t="s">
        <v>58</v>
      </c>
      <c r="D238" s="22">
        <v>1255</v>
      </c>
    </row>
    <row r="239" spans="1:4" ht="14.25" customHeight="1" x14ac:dyDescent="0.15">
      <c r="A239" s="21" t="s">
        <v>32</v>
      </c>
      <c r="B239" s="21">
        <v>45099</v>
      </c>
      <c r="C239" s="21" t="s">
        <v>58</v>
      </c>
      <c r="D239" s="22">
        <v>1161</v>
      </c>
    </row>
    <row r="240" spans="1:4" ht="14.25" customHeight="1" x14ac:dyDescent="0.15">
      <c r="A240" s="21" t="s">
        <v>32</v>
      </c>
      <c r="B240" s="21">
        <v>45109</v>
      </c>
      <c r="C240" s="21" t="s">
        <v>58</v>
      </c>
      <c r="D240" s="22">
        <v>1058</v>
      </c>
    </row>
    <row r="241" spans="1:4" ht="14.25" customHeight="1" x14ac:dyDescent="0.15">
      <c r="A241" s="21" t="s">
        <v>32</v>
      </c>
      <c r="B241" s="21">
        <v>45117</v>
      </c>
      <c r="C241" s="21" t="s">
        <v>58</v>
      </c>
      <c r="D241" s="22">
        <v>1042</v>
      </c>
    </row>
    <row r="242" spans="1:4" ht="14.25" customHeight="1" x14ac:dyDescent="0.15">
      <c r="A242" s="21" t="s">
        <v>32</v>
      </c>
      <c r="B242" s="21">
        <v>45060</v>
      </c>
      <c r="C242" s="21" t="s">
        <v>59</v>
      </c>
      <c r="D242" s="22">
        <v>229.93</v>
      </c>
    </row>
    <row r="243" spans="1:4" ht="14.25" customHeight="1" x14ac:dyDescent="0.15">
      <c r="A243" s="21" t="s">
        <v>32</v>
      </c>
      <c r="B243" s="21">
        <v>45033</v>
      </c>
      <c r="C243" s="21" t="s">
        <v>59</v>
      </c>
      <c r="D243" s="22">
        <v>213.78</v>
      </c>
    </row>
    <row r="244" spans="1:4" ht="14.25" customHeight="1" x14ac:dyDescent="0.15">
      <c r="A244" s="21" t="s">
        <v>32</v>
      </c>
      <c r="B244" s="21">
        <v>45043</v>
      </c>
      <c r="C244" s="21" t="s">
        <v>30</v>
      </c>
      <c r="D244" s="22">
        <v>157</v>
      </c>
    </row>
    <row r="245" spans="1:4" ht="14.25" customHeight="1" x14ac:dyDescent="0.15">
      <c r="A245" s="21" t="s">
        <v>32</v>
      </c>
      <c r="B245" s="21">
        <v>45056</v>
      </c>
      <c r="C245" s="21" t="s">
        <v>30</v>
      </c>
      <c r="D245" s="22">
        <v>156</v>
      </c>
    </row>
    <row r="246" spans="1:4" ht="14.25" customHeight="1" x14ac:dyDescent="0.15">
      <c r="A246" s="21" t="s">
        <v>32</v>
      </c>
      <c r="B246" s="21">
        <v>45051</v>
      </c>
      <c r="C246" s="21" t="s">
        <v>30</v>
      </c>
      <c r="D246" s="22">
        <v>156</v>
      </c>
    </row>
    <row r="247" spans="1:4" ht="14.25" customHeight="1" x14ac:dyDescent="0.15">
      <c r="A247" s="21" t="s">
        <v>32</v>
      </c>
      <c r="B247" s="21">
        <v>45052</v>
      </c>
      <c r="C247" s="21" t="s">
        <v>30</v>
      </c>
      <c r="D247" s="22">
        <v>155</v>
      </c>
    </row>
    <row r="248" spans="1:4" ht="14.25" customHeight="1" x14ac:dyDescent="0.15">
      <c r="A248" s="21" t="s">
        <v>32</v>
      </c>
      <c r="B248" s="21">
        <v>45052</v>
      </c>
      <c r="C248" s="21" t="s">
        <v>30</v>
      </c>
      <c r="D248" s="22">
        <v>155</v>
      </c>
    </row>
    <row r="249" spans="1:4" ht="14.25" customHeight="1" x14ac:dyDescent="0.15">
      <c r="A249" s="21" t="s">
        <v>32</v>
      </c>
      <c r="B249" s="21">
        <v>45046</v>
      </c>
      <c r="C249" s="21" t="s">
        <v>30</v>
      </c>
      <c r="D249" s="22">
        <v>155</v>
      </c>
    </row>
    <row r="250" spans="1:4" ht="14.25" customHeight="1" x14ac:dyDescent="0.15">
      <c r="A250" s="21" t="s">
        <v>32</v>
      </c>
      <c r="B250" s="21">
        <v>45060</v>
      </c>
      <c r="C250" s="21" t="s">
        <v>30</v>
      </c>
      <c r="D250" s="22">
        <v>154</v>
      </c>
    </row>
    <row r="251" spans="1:4" ht="14.25" customHeight="1" x14ac:dyDescent="0.15">
      <c r="A251" s="21" t="s">
        <v>32</v>
      </c>
      <c r="B251" s="21">
        <v>45019</v>
      </c>
      <c r="C251" s="21" t="s">
        <v>30</v>
      </c>
      <c r="D251" s="22">
        <v>153</v>
      </c>
    </row>
    <row r="252" spans="1:4" ht="14.25" customHeight="1" x14ac:dyDescent="0.15">
      <c r="A252" s="21" t="s">
        <v>32</v>
      </c>
      <c r="B252" s="21">
        <v>45019</v>
      </c>
      <c r="C252" s="21" t="s">
        <v>30</v>
      </c>
      <c r="D252" s="22">
        <v>153</v>
      </c>
    </row>
    <row r="253" spans="1:4" ht="14.25" customHeight="1" x14ac:dyDescent="0.15">
      <c r="A253" s="21" t="s">
        <v>32</v>
      </c>
      <c r="B253" s="21">
        <v>45075</v>
      </c>
      <c r="C253" s="21" t="s">
        <v>30</v>
      </c>
      <c r="D253" s="22">
        <v>147</v>
      </c>
    </row>
    <row r="254" spans="1:4" ht="14.25" customHeight="1" x14ac:dyDescent="0.15">
      <c r="A254" s="21" t="s">
        <v>32</v>
      </c>
      <c r="B254" s="21">
        <v>45021</v>
      </c>
      <c r="C254" s="21" t="s">
        <v>30</v>
      </c>
      <c r="D254" s="22">
        <v>147</v>
      </c>
    </row>
    <row r="255" spans="1:4" ht="14.25" customHeight="1" x14ac:dyDescent="0.15">
      <c r="A255" s="21" t="s">
        <v>32</v>
      </c>
      <c r="B255" s="21">
        <v>45020</v>
      </c>
      <c r="C255" s="21" t="s">
        <v>30</v>
      </c>
      <c r="D255" s="22">
        <v>147</v>
      </c>
    </row>
    <row r="256" spans="1:4" ht="14.25" customHeight="1" x14ac:dyDescent="0.15">
      <c r="A256" s="21" t="s">
        <v>32</v>
      </c>
      <c r="B256" s="21">
        <v>45023</v>
      </c>
      <c r="C256" s="21" t="s">
        <v>30</v>
      </c>
      <c r="D256" s="22">
        <v>142</v>
      </c>
    </row>
    <row r="257" spans="1:4" ht="14.25" customHeight="1" x14ac:dyDescent="0.15">
      <c r="A257" s="21" t="s">
        <v>32</v>
      </c>
      <c r="B257" s="21">
        <v>45023</v>
      </c>
      <c r="C257" s="21" t="s">
        <v>30</v>
      </c>
      <c r="D257" s="22">
        <v>142</v>
      </c>
    </row>
    <row r="258" spans="1:4" ht="14.25" customHeight="1" x14ac:dyDescent="0.15">
      <c r="A258" s="21" t="s">
        <v>32</v>
      </c>
      <c r="B258" s="21">
        <v>45025</v>
      </c>
      <c r="C258" s="21" t="s">
        <v>30</v>
      </c>
      <c r="D258" s="22">
        <v>141</v>
      </c>
    </row>
    <row r="259" spans="1:4" ht="14.25" customHeight="1" x14ac:dyDescent="0.15">
      <c r="A259" s="21" t="s">
        <v>32</v>
      </c>
      <c r="B259" s="21">
        <v>45095</v>
      </c>
      <c r="C259" s="21" t="s">
        <v>59</v>
      </c>
      <c r="D259" s="22">
        <v>124.68</v>
      </c>
    </row>
    <row r="260" spans="1:4" ht="14.25" customHeight="1" x14ac:dyDescent="0.15">
      <c r="A260" s="21" t="s">
        <v>32</v>
      </c>
      <c r="B260" s="21">
        <v>45107</v>
      </c>
      <c r="C260" s="21" t="s">
        <v>30</v>
      </c>
      <c r="D260" s="22">
        <v>92</v>
      </c>
    </row>
    <row r="261" spans="1:4" ht="14.25" customHeight="1" x14ac:dyDescent="0.15">
      <c r="A261" s="21" t="s">
        <v>32</v>
      </c>
      <c r="B261" s="21">
        <v>45106</v>
      </c>
      <c r="C261" s="21" t="s">
        <v>30</v>
      </c>
      <c r="D261" s="22">
        <v>91</v>
      </c>
    </row>
    <row r="262" spans="1:4" ht="14.25" customHeight="1" x14ac:dyDescent="0.15">
      <c r="A262" s="21" t="s">
        <v>32</v>
      </c>
      <c r="B262" s="21">
        <v>45101</v>
      </c>
      <c r="C262" s="21" t="s">
        <v>30</v>
      </c>
      <c r="D262" s="22">
        <v>84</v>
      </c>
    </row>
    <row r="263" spans="1:4" ht="14.25" customHeight="1" x14ac:dyDescent="0.15">
      <c r="A263" s="21" t="s">
        <v>32</v>
      </c>
      <c r="B263" s="21">
        <v>45067</v>
      </c>
      <c r="C263" s="21" t="s">
        <v>60</v>
      </c>
      <c r="D263" s="22">
        <v>21</v>
      </c>
    </row>
    <row r="264" spans="1:4" ht="14.25" customHeight="1" x14ac:dyDescent="0.15">
      <c r="A264" s="21" t="s">
        <v>32</v>
      </c>
      <c r="B264" s="21">
        <v>45067</v>
      </c>
      <c r="C264" s="21" t="s">
        <v>60</v>
      </c>
      <c r="D264" s="22">
        <v>21</v>
      </c>
    </row>
    <row r="265" spans="1:4" ht="14.25" customHeight="1" x14ac:dyDescent="0.15">
      <c r="A265" s="21" t="s">
        <v>32</v>
      </c>
      <c r="B265" s="21">
        <v>45066</v>
      </c>
      <c r="C265" s="21" t="s">
        <v>60</v>
      </c>
      <c r="D265" s="22">
        <v>21</v>
      </c>
    </row>
    <row r="266" spans="1:4" ht="14.25" customHeight="1" x14ac:dyDescent="0.15">
      <c r="A266" s="21" t="s">
        <v>32</v>
      </c>
      <c r="B266" s="21">
        <v>45066</v>
      </c>
      <c r="C266" s="21" t="s">
        <v>60</v>
      </c>
      <c r="D266" s="22">
        <v>21</v>
      </c>
    </row>
    <row r="267" spans="1:4" ht="14.25" customHeight="1" x14ac:dyDescent="0.15">
      <c r="A267" s="21" t="s">
        <v>32</v>
      </c>
      <c r="B267" s="21">
        <v>45065</v>
      </c>
      <c r="C267" s="21" t="s">
        <v>60</v>
      </c>
      <c r="D267" s="22">
        <v>21</v>
      </c>
    </row>
    <row r="268" spans="1:4" ht="14.25" customHeight="1" x14ac:dyDescent="0.15">
      <c r="A268" s="21" t="s">
        <v>32</v>
      </c>
      <c r="B268" s="21">
        <v>45064</v>
      </c>
      <c r="C268" s="21" t="s">
        <v>60</v>
      </c>
      <c r="D268" s="22">
        <v>21</v>
      </c>
    </row>
    <row r="269" spans="1:4" ht="14.25" customHeight="1" x14ac:dyDescent="0.15">
      <c r="A269" s="21" t="s">
        <v>32</v>
      </c>
      <c r="B269" s="21">
        <v>45066</v>
      </c>
      <c r="C269" s="21" t="s">
        <v>33</v>
      </c>
      <c r="D269" s="22">
        <v>17.84</v>
      </c>
    </row>
    <row r="270" spans="1:4" ht="14.25" customHeight="1" x14ac:dyDescent="0.15">
      <c r="A270" s="21" t="s">
        <v>32</v>
      </c>
      <c r="B270" s="21">
        <v>45066</v>
      </c>
      <c r="C270" s="21" t="s">
        <v>33</v>
      </c>
      <c r="D270" s="22">
        <v>17.84</v>
      </c>
    </row>
    <row r="271" spans="1:4" ht="14.25" customHeight="1" x14ac:dyDescent="0.15">
      <c r="A271" s="21" t="s">
        <v>32</v>
      </c>
      <c r="B271" s="21">
        <v>45063</v>
      </c>
      <c r="C271" s="21" t="s">
        <v>33</v>
      </c>
      <c r="D271" s="22">
        <v>17.829999999999998</v>
      </c>
    </row>
    <row r="272" spans="1:4" ht="14.25" customHeight="1" x14ac:dyDescent="0.15">
      <c r="A272" s="21" t="s">
        <v>32</v>
      </c>
      <c r="B272" s="21">
        <v>45063</v>
      </c>
      <c r="C272" s="21" t="s">
        <v>33</v>
      </c>
      <c r="D272" s="22">
        <v>17.829999999999998</v>
      </c>
    </row>
    <row r="273" spans="1:4" ht="14.25" customHeight="1" x14ac:dyDescent="0.15">
      <c r="A273" s="21" t="s">
        <v>32</v>
      </c>
      <c r="B273" s="21">
        <v>45118</v>
      </c>
      <c r="C273" s="21" t="s">
        <v>60</v>
      </c>
      <c r="D273" s="22">
        <v>15</v>
      </c>
    </row>
    <row r="274" spans="1:4" ht="14.25" customHeight="1" x14ac:dyDescent="0.15">
      <c r="A274" s="21" t="s">
        <v>32</v>
      </c>
      <c r="B274" s="21">
        <v>45109</v>
      </c>
      <c r="C274" s="21" t="s">
        <v>60</v>
      </c>
      <c r="D274" s="22">
        <v>15</v>
      </c>
    </row>
    <row r="275" spans="1:4" ht="14.25" customHeight="1" x14ac:dyDescent="0.15">
      <c r="A275" s="21" t="s">
        <v>32</v>
      </c>
      <c r="B275" s="21">
        <v>45108</v>
      </c>
      <c r="C275" s="21" t="s">
        <v>60</v>
      </c>
      <c r="D275" s="22">
        <v>15</v>
      </c>
    </row>
    <row r="276" spans="1:4" ht="14.25" customHeight="1" x14ac:dyDescent="0.15">
      <c r="A276" s="21" t="s">
        <v>32</v>
      </c>
      <c r="B276" s="21">
        <v>45106</v>
      </c>
      <c r="C276" s="21" t="s">
        <v>60</v>
      </c>
      <c r="D276" s="22">
        <v>15</v>
      </c>
    </row>
    <row r="277" spans="1:4" ht="14.25" customHeight="1" x14ac:dyDescent="0.15">
      <c r="A277" s="21" t="s">
        <v>55</v>
      </c>
      <c r="B277" s="21">
        <v>45107</v>
      </c>
      <c r="C277" s="21" t="s">
        <v>30</v>
      </c>
      <c r="D277" s="22">
        <v>59</v>
      </c>
    </row>
    <row r="278" spans="1:4" ht="14.25" customHeight="1" x14ac:dyDescent="0.15">
      <c r="A278" s="21" t="s">
        <v>55</v>
      </c>
      <c r="B278" s="21">
        <v>45107</v>
      </c>
      <c r="C278" s="21" t="s">
        <v>30</v>
      </c>
      <c r="D278" s="22">
        <v>59</v>
      </c>
    </row>
    <row r="279" spans="1:4" ht="14.25" customHeight="1" x14ac:dyDescent="0.15">
      <c r="A279" s="21" t="s">
        <v>32</v>
      </c>
      <c r="B279" s="21">
        <v>45106</v>
      </c>
      <c r="C279" s="21" t="s">
        <v>60</v>
      </c>
      <c r="D279" s="22">
        <v>15</v>
      </c>
    </row>
    <row r="280" spans="1:4" ht="14.25" customHeight="1" x14ac:dyDescent="0.15">
      <c r="A280" s="21" t="s">
        <v>32</v>
      </c>
      <c r="B280" s="21">
        <v>45104</v>
      </c>
      <c r="C280" s="21" t="s">
        <v>60</v>
      </c>
      <c r="D280" s="22">
        <v>15</v>
      </c>
    </row>
    <row r="281" spans="1:4" ht="14.25" customHeight="1" x14ac:dyDescent="0.15">
      <c r="A281" s="21" t="s">
        <v>32</v>
      </c>
      <c r="B281" s="21">
        <v>45099</v>
      </c>
      <c r="C281" s="21" t="s">
        <v>60</v>
      </c>
      <c r="D281" s="22">
        <v>15</v>
      </c>
    </row>
    <row r="282" spans="1:4" ht="14.25" customHeight="1" x14ac:dyDescent="0.15">
      <c r="A282" s="21" t="s">
        <v>32</v>
      </c>
      <c r="B282" s="21">
        <v>45097</v>
      </c>
      <c r="C282" s="21" t="s">
        <v>60</v>
      </c>
      <c r="D282" s="22">
        <v>15</v>
      </c>
    </row>
    <row r="283" spans="1:4" ht="14.25" customHeight="1" x14ac:dyDescent="0.15">
      <c r="A283" s="21" t="s">
        <v>32</v>
      </c>
      <c r="B283" s="21">
        <v>45097</v>
      </c>
      <c r="C283" s="21" t="s">
        <v>60</v>
      </c>
      <c r="D283" s="22">
        <v>15</v>
      </c>
    </row>
    <row r="284" spans="1:4" ht="14.25" customHeight="1" x14ac:dyDescent="0.15">
      <c r="A284" s="21" t="s">
        <v>32</v>
      </c>
      <c r="B284" s="21">
        <v>45096</v>
      </c>
      <c r="C284" s="21" t="s">
        <v>60</v>
      </c>
      <c r="D284" s="22">
        <v>15</v>
      </c>
    </row>
    <row r="285" spans="1:4" ht="14.25" customHeight="1" x14ac:dyDescent="0.15">
      <c r="A285" s="21" t="s">
        <v>32</v>
      </c>
      <c r="B285" s="21">
        <v>45095</v>
      </c>
      <c r="C285" s="21" t="s">
        <v>60</v>
      </c>
      <c r="D285" s="22">
        <v>15</v>
      </c>
    </row>
    <row r="286" spans="1:4" ht="14.25" customHeight="1" x14ac:dyDescent="0.15">
      <c r="A286" s="21" t="s">
        <v>32</v>
      </c>
      <c r="B286" s="21">
        <v>45094</v>
      </c>
      <c r="C286" s="21" t="s">
        <v>60</v>
      </c>
      <c r="D286" s="22">
        <v>15</v>
      </c>
    </row>
    <row r="287" spans="1:4" ht="14.25" customHeight="1" x14ac:dyDescent="0.15">
      <c r="A287" s="21" t="s">
        <v>32</v>
      </c>
      <c r="B287" s="21">
        <v>45093</v>
      </c>
      <c r="C287" s="21" t="s">
        <v>60</v>
      </c>
      <c r="D287" s="22">
        <v>15</v>
      </c>
    </row>
    <row r="288" spans="1:4" ht="14.25" customHeight="1" x14ac:dyDescent="0.15">
      <c r="A288" s="21" t="s">
        <v>32</v>
      </c>
      <c r="B288" s="21">
        <v>45093</v>
      </c>
      <c r="C288" s="21" t="s">
        <v>60</v>
      </c>
      <c r="D288" s="22">
        <v>15</v>
      </c>
    </row>
    <row r="289" spans="1:4" ht="14.25" customHeight="1" x14ac:dyDescent="0.15">
      <c r="A289" s="21" t="s">
        <v>32</v>
      </c>
      <c r="B289" s="21">
        <v>45088</v>
      </c>
      <c r="C289" s="21" t="s">
        <v>60</v>
      </c>
      <c r="D289" s="22">
        <v>15</v>
      </c>
    </row>
    <row r="290" spans="1:4" ht="14.25" customHeight="1" x14ac:dyDescent="0.15">
      <c r="A290" s="21" t="s">
        <v>32</v>
      </c>
      <c r="B290" s="21">
        <v>45088</v>
      </c>
      <c r="C290" s="21" t="s">
        <v>60</v>
      </c>
      <c r="D290" s="22">
        <v>15</v>
      </c>
    </row>
    <row r="291" spans="1:4" ht="14.25" customHeight="1" x14ac:dyDescent="0.15">
      <c r="A291" s="21" t="s">
        <v>55</v>
      </c>
      <c r="B291" s="21">
        <v>45107</v>
      </c>
      <c r="C291" s="21" t="s">
        <v>30</v>
      </c>
      <c r="D291" s="22">
        <v>59</v>
      </c>
    </row>
    <row r="292" spans="1:4" ht="14.25" customHeight="1" x14ac:dyDescent="0.15">
      <c r="A292" s="21" t="s">
        <v>55</v>
      </c>
      <c r="B292" s="21">
        <v>45107</v>
      </c>
      <c r="C292" s="21" t="s">
        <v>30</v>
      </c>
      <c r="D292" s="22">
        <v>59</v>
      </c>
    </row>
    <row r="293" spans="1:4" ht="14.25" customHeight="1" x14ac:dyDescent="0.15">
      <c r="A293" s="21" t="s">
        <v>32</v>
      </c>
      <c r="B293" s="21">
        <v>45088</v>
      </c>
      <c r="C293" s="21" t="s">
        <v>60</v>
      </c>
      <c r="D293" s="22">
        <v>15</v>
      </c>
    </row>
    <row r="294" spans="1:4" ht="14.25" customHeight="1" x14ac:dyDescent="0.15">
      <c r="A294" s="21" t="s">
        <v>32</v>
      </c>
      <c r="B294" s="21">
        <v>45086</v>
      </c>
      <c r="C294" s="21" t="s">
        <v>60</v>
      </c>
      <c r="D294" s="22">
        <v>15</v>
      </c>
    </row>
    <row r="295" spans="1:4" ht="14.25" customHeight="1" x14ac:dyDescent="0.15">
      <c r="A295" s="21" t="s">
        <v>32</v>
      </c>
      <c r="B295" s="21">
        <v>45084</v>
      </c>
      <c r="C295" s="21" t="s">
        <v>60</v>
      </c>
      <c r="D295" s="22">
        <v>15</v>
      </c>
    </row>
    <row r="296" spans="1:4" ht="14.25" customHeight="1" x14ac:dyDescent="0.15">
      <c r="A296" s="21" t="s">
        <v>32</v>
      </c>
      <c r="B296" s="21">
        <v>45083</v>
      </c>
      <c r="C296" s="21" t="s">
        <v>60</v>
      </c>
      <c r="D296" s="22">
        <v>15</v>
      </c>
    </row>
    <row r="297" spans="1:4" ht="14.25" customHeight="1" x14ac:dyDescent="0.15">
      <c r="A297" s="21" t="s">
        <v>32</v>
      </c>
      <c r="B297" s="21">
        <v>45083</v>
      </c>
      <c r="C297" s="21" t="s">
        <v>60</v>
      </c>
      <c r="D297" s="22">
        <v>15</v>
      </c>
    </row>
    <row r="298" spans="1:4" ht="14.25" customHeight="1" x14ac:dyDescent="0.15">
      <c r="A298" s="21" t="s">
        <v>32</v>
      </c>
      <c r="B298" s="21">
        <v>45082</v>
      </c>
      <c r="C298" s="21" t="s">
        <v>60</v>
      </c>
      <c r="D298" s="22">
        <v>15</v>
      </c>
    </row>
    <row r="299" spans="1:4" ht="14.25" customHeight="1" x14ac:dyDescent="0.15">
      <c r="A299" s="21" t="s">
        <v>32</v>
      </c>
      <c r="B299" s="21">
        <v>45080</v>
      </c>
      <c r="C299" s="21" t="s">
        <v>60</v>
      </c>
      <c r="D299" s="22">
        <v>15</v>
      </c>
    </row>
    <row r="300" spans="1:4" ht="14.25" customHeight="1" x14ac:dyDescent="0.15">
      <c r="A300" s="21" t="s">
        <v>32</v>
      </c>
      <c r="B300" s="21">
        <v>45080</v>
      </c>
      <c r="C300" s="21" t="s">
        <v>60</v>
      </c>
      <c r="D300" s="22">
        <v>15</v>
      </c>
    </row>
    <row r="301" spans="1:4" ht="14.25" customHeight="1" x14ac:dyDescent="0.15">
      <c r="A301" s="21" t="s">
        <v>32</v>
      </c>
      <c r="B301" s="21">
        <v>45080</v>
      </c>
      <c r="C301" s="21" t="s">
        <v>60</v>
      </c>
      <c r="D301" s="22">
        <v>15</v>
      </c>
    </row>
    <row r="302" spans="1:4" ht="14.25" customHeight="1" x14ac:dyDescent="0.15">
      <c r="A302" s="21" t="s">
        <v>32</v>
      </c>
      <c r="B302" s="21">
        <v>45079</v>
      </c>
      <c r="C302" s="21" t="s">
        <v>60</v>
      </c>
      <c r="D302" s="22">
        <v>15</v>
      </c>
    </row>
    <row r="303" spans="1:4" ht="14.25" customHeight="1" x14ac:dyDescent="0.15">
      <c r="A303" s="21" t="s">
        <v>32</v>
      </c>
      <c r="B303" s="21">
        <v>45076</v>
      </c>
      <c r="C303" s="21" t="s">
        <v>60</v>
      </c>
      <c r="D303" s="22">
        <v>15</v>
      </c>
    </row>
    <row r="304" spans="1:4" ht="14.25" customHeight="1" x14ac:dyDescent="0.15">
      <c r="A304" s="21" t="s">
        <v>32</v>
      </c>
      <c r="B304" s="21">
        <v>45075</v>
      </c>
      <c r="C304" s="21" t="s">
        <v>60</v>
      </c>
      <c r="D304" s="22">
        <v>15</v>
      </c>
    </row>
    <row r="305" spans="1:4" ht="14.25" customHeight="1" x14ac:dyDescent="0.15">
      <c r="A305" s="21" t="s">
        <v>32</v>
      </c>
      <c r="B305" s="21">
        <v>45075</v>
      </c>
      <c r="C305" s="21" t="s">
        <v>60</v>
      </c>
      <c r="D305" s="22">
        <v>15</v>
      </c>
    </row>
    <row r="306" spans="1:4" ht="14.25" customHeight="1" x14ac:dyDescent="0.15">
      <c r="A306" s="21" t="s">
        <v>32</v>
      </c>
      <c r="B306" s="21">
        <v>45074</v>
      </c>
      <c r="C306" s="21" t="s">
        <v>60</v>
      </c>
      <c r="D306" s="22">
        <v>15</v>
      </c>
    </row>
    <row r="307" spans="1:4" ht="14.25" customHeight="1" x14ac:dyDescent="0.15">
      <c r="A307" s="21" t="s">
        <v>32</v>
      </c>
      <c r="B307" s="21">
        <v>45074</v>
      </c>
      <c r="C307" s="21" t="s">
        <v>60</v>
      </c>
      <c r="D307" s="22">
        <v>15</v>
      </c>
    </row>
    <row r="308" spans="1:4" ht="14.25" customHeight="1" x14ac:dyDescent="0.15">
      <c r="A308" s="21" t="s">
        <v>32</v>
      </c>
      <c r="B308" s="21">
        <v>45071</v>
      </c>
      <c r="C308" s="21" t="s">
        <v>60</v>
      </c>
      <c r="D308" s="22">
        <v>15</v>
      </c>
    </row>
    <row r="309" spans="1:4" ht="14.25" customHeight="1" x14ac:dyDescent="0.15">
      <c r="A309" s="21" t="s">
        <v>32</v>
      </c>
      <c r="B309" s="21">
        <v>45071</v>
      </c>
      <c r="C309" s="21" t="s">
        <v>60</v>
      </c>
      <c r="D309" s="22">
        <v>15</v>
      </c>
    </row>
    <row r="310" spans="1:4" ht="14.25" customHeight="1" x14ac:dyDescent="0.15">
      <c r="A310" s="21" t="s">
        <v>32</v>
      </c>
      <c r="B310" s="21">
        <v>45062</v>
      </c>
      <c r="C310" s="21" t="s">
        <v>60</v>
      </c>
      <c r="D310" s="22">
        <v>14</v>
      </c>
    </row>
    <row r="311" spans="1:4" ht="14.25" customHeight="1" x14ac:dyDescent="0.15">
      <c r="A311" s="21" t="s">
        <v>32</v>
      </c>
      <c r="B311" s="21">
        <v>45061</v>
      </c>
      <c r="C311" s="21" t="s">
        <v>60</v>
      </c>
      <c r="D311" s="22">
        <v>14</v>
      </c>
    </row>
    <row r="312" spans="1:4" ht="14.25" customHeight="1" x14ac:dyDescent="0.15">
      <c r="A312" s="21" t="s">
        <v>32</v>
      </c>
      <c r="B312" s="21">
        <v>45061</v>
      </c>
      <c r="C312" s="21" t="s">
        <v>60</v>
      </c>
      <c r="D312" s="22">
        <v>14</v>
      </c>
    </row>
    <row r="313" spans="1:4" ht="14.25" customHeight="1" x14ac:dyDescent="0.15">
      <c r="A313" s="21" t="s">
        <v>32</v>
      </c>
      <c r="B313" s="21">
        <v>45061</v>
      </c>
      <c r="C313" s="21" t="s">
        <v>60</v>
      </c>
      <c r="D313" s="22">
        <v>14</v>
      </c>
    </row>
    <row r="314" spans="1:4" ht="14.25" customHeight="1" x14ac:dyDescent="0.15">
      <c r="A314" s="21" t="s">
        <v>32</v>
      </c>
      <c r="B314" s="21">
        <v>45060</v>
      </c>
      <c r="C314" s="21" t="s">
        <v>60</v>
      </c>
      <c r="D314" s="22">
        <v>14</v>
      </c>
    </row>
    <row r="315" spans="1:4" ht="14.25" customHeight="1" x14ac:dyDescent="0.15">
      <c r="A315" s="21" t="s">
        <v>32</v>
      </c>
      <c r="B315" s="21">
        <v>45060</v>
      </c>
      <c r="C315" s="21" t="s">
        <v>60</v>
      </c>
      <c r="D315" s="22">
        <v>14</v>
      </c>
    </row>
    <row r="316" spans="1:4" ht="14.25" customHeight="1" x14ac:dyDescent="0.15">
      <c r="A316" s="21" t="s">
        <v>32</v>
      </c>
      <c r="B316" s="21">
        <v>45060</v>
      </c>
      <c r="C316" s="21" t="s">
        <v>60</v>
      </c>
      <c r="D316" s="22">
        <v>14</v>
      </c>
    </row>
    <row r="317" spans="1:4" ht="14.25" customHeight="1" x14ac:dyDescent="0.15">
      <c r="A317" s="21" t="s">
        <v>32</v>
      </c>
      <c r="B317" s="21">
        <v>45059</v>
      </c>
      <c r="C317" s="21" t="s">
        <v>60</v>
      </c>
      <c r="D317" s="22">
        <v>14</v>
      </c>
    </row>
    <row r="318" spans="1:4" ht="14.25" customHeight="1" x14ac:dyDescent="0.15">
      <c r="A318" s="21" t="s">
        <v>32</v>
      </c>
      <c r="B318" s="21">
        <v>45057</v>
      </c>
      <c r="C318" s="21" t="s">
        <v>60</v>
      </c>
      <c r="D318" s="22">
        <v>14</v>
      </c>
    </row>
    <row r="319" spans="1:4" ht="14.25" customHeight="1" x14ac:dyDescent="0.15">
      <c r="A319" s="21" t="s">
        <v>32</v>
      </c>
      <c r="B319" s="21">
        <v>45056</v>
      </c>
      <c r="C319" s="21" t="s">
        <v>60</v>
      </c>
      <c r="D319" s="22">
        <v>14</v>
      </c>
    </row>
    <row r="320" spans="1:4" ht="14.25" customHeight="1" x14ac:dyDescent="0.15">
      <c r="A320" s="21" t="s">
        <v>32</v>
      </c>
      <c r="B320" s="21">
        <v>45056</v>
      </c>
      <c r="C320" s="21" t="s">
        <v>60</v>
      </c>
      <c r="D320" s="22">
        <v>14</v>
      </c>
    </row>
    <row r="321" spans="1:4" ht="14.25" customHeight="1" x14ac:dyDescent="0.15">
      <c r="A321" s="21" t="s">
        <v>32</v>
      </c>
      <c r="B321" s="21">
        <v>45056</v>
      </c>
      <c r="C321" s="21" t="s">
        <v>60</v>
      </c>
      <c r="D321" s="22">
        <v>14</v>
      </c>
    </row>
    <row r="322" spans="1:4" ht="14.25" customHeight="1" x14ac:dyDescent="0.15">
      <c r="A322" s="21" t="s">
        <v>32</v>
      </c>
      <c r="B322" s="21">
        <v>45055</v>
      </c>
      <c r="C322" s="21" t="s">
        <v>60</v>
      </c>
      <c r="D322" s="22">
        <v>14</v>
      </c>
    </row>
    <row r="323" spans="1:4" ht="14.25" customHeight="1" x14ac:dyDescent="0.15">
      <c r="A323" s="21" t="s">
        <v>32</v>
      </c>
      <c r="B323" s="21">
        <v>45054</v>
      </c>
      <c r="C323" s="21" t="s">
        <v>60</v>
      </c>
      <c r="D323" s="22">
        <v>14</v>
      </c>
    </row>
    <row r="324" spans="1:4" ht="14.25" customHeight="1" x14ac:dyDescent="0.15">
      <c r="A324" s="21" t="s">
        <v>32</v>
      </c>
      <c r="B324" s="21">
        <v>45052</v>
      </c>
      <c r="C324" s="21" t="s">
        <v>60</v>
      </c>
      <c r="D324" s="22">
        <v>14</v>
      </c>
    </row>
    <row r="325" spans="1:4" ht="14.25" customHeight="1" x14ac:dyDescent="0.15">
      <c r="A325" s="21" t="s">
        <v>32</v>
      </c>
      <c r="B325" s="21">
        <v>45045</v>
      </c>
      <c r="C325" s="21" t="s">
        <v>60</v>
      </c>
      <c r="D325" s="22">
        <v>14</v>
      </c>
    </row>
    <row r="326" spans="1:4" ht="14.25" customHeight="1" x14ac:dyDescent="0.15">
      <c r="A326" s="21" t="s">
        <v>32</v>
      </c>
      <c r="B326" s="21">
        <v>45045</v>
      </c>
      <c r="C326" s="21" t="s">
        <v>60</v>
      </c>
      <c r="D326" s="22">
        <v>14</v>
      </c>
    </row>
    <row r="327" spans="1:4" ht="14.25" customHeight="1" x14ac:dyDescent="0.15">
      <c r="A327" s="21" t="s">
        <v>32</v>
      </c>
      <c r="B327" s="21">
        <v>45045</v>
      </c>
      <c r="C327" s="21" t="s">
        <v>60</v>
      </c>
      <c r="D327" s="22">
        <v>14</v>
      </c>
    </row>
    <row r="328" spans="1:4" ht="14.25" customHeight="1" x14ac:dyDescent="0.15">
      <c r="A328" s="21" t="s">
        <v>32</v>
      </c>
      <c r="B328" s="21">
        <v>45042</v>
      </c>
      <c r="C328" s="21" t="s">
        <v>60</v>
      </c>
      <c r="D328" s="22">
        <v>14</v>
      </c>
    </row>
    <row r="329" spans="1:4" ht="14.25" customHeight="1" x14ac:dyDescent="0.15">
      <c r="A329" s="21" t="s">
        <v>32</v>
      </c>
      <c r="B329" s="21">
        <v>45042</v>
      </c>
      <c r="C329" s="21" t="s">
        <v>60</v>
      </c>
      <c r="D329" s="22">
        <v>14</v>
      </c>
    </row>
    <row r="330" spans="1:4" ht="14.25" customHeight="1" x14ac:dyDescent="0.15">
      <c r="A330" s="21" t="s">
        <v>32</v>
      </c>
      <c r="B330" s="21">
        <v>45041</v>
      </c>
      <c r="C330" s="21" t="s">
        <v>60</v>
      </c>
      <c r="D330" s="22">
        <v>14</v>
      </c>
    </row>
    <row r="331" spans="1:4" ht="14.25" customHeight="1" x14ac:dyDescent="0.15">
      <c r="A331" s="21" t="s">
        <v>32</v>
      </c>
      <c r="B331" s="21">
        <v>45040</v>
      </c>
      <c r="C331" s="21" t="s">
        <v>60</v>
      </c>
      <c r="D331" s="22">
        <v>14</v>
      </c>
    </row>
    <row r="332" spans="1:4" ht="14.25" customHeight="1" x14ac:dyDescent="0.15">
      <c r="A332" s="21" t="s">
        <v>32</v>
      </c>
      <c r="B332" s="21">
        <v>45036</v>
      </c>
      <c r="C332" s="21" t="s">
        <v>60</v>
      </c>
      <c r="D332" s="22">
        <v>14</v>
      </c>
    </row>
    <row r="333" spans="1:4" ht="14.25" customHeight="1" x14ac:dyDescent="0.15">
      <c r="A333" s="21" t="s">
        <v>32</v>
      </c>
      <c r="B333" s="21">
        <v>45034</v>
      </c>
      <c r="C333" s="21" t="s">
        <v>60</v>
      </c>
      <c r="D333" s="22">
        <v>14</v>
      </c>
    </row>
    <row r="334" spans="1:4" ht="14.25" customHeight="1" x14ac:dyDescent="0.15">
      <c r="A334" s="21" t="s">
        <v>32</v>
      </c>
      <c r="B334" s="21">
        <v>45034</v>
      </c>
      <c r="C334" s="21" t="s">
        <v>60</v>
      </c>
      <c r="D334" s="22">
        <v>14</v>
      </c>
    </row>
    <row r="335" spans="1:4" ht="14.25" customHeight="1" x14ac:dyDescent="0.15">
      <c r="A335" s="21" t="s">
        <v>32</v>
      </c>
      <c r="B335" s="21">
        <v>45032</v>
      </c>
      <c r="C335" s="21" t="s">
        <v>60</v>
      </c>
      <c r="D335" s="22">
        <v>14</v>
      </c>
    </row>
    <row r="336" spans="1:4" ht="14.25" customHeight="1" x14ac:dyDescent="0.15">
      <c r="A336" s="21" t="s">
        <v>32</v>
      </c>
      <c r="B336" s="21">
        <v>45032</v>
      </c>
      <c r="C336" s="21" t="s">
        <v>60</v>
      </c>
      <c r="D336" s="22">
        <v>14</v>
      </c>
    </row>
    <row r="337" spans="1:4" ht="14.25" customHeight="1" x14ac:dyDescent="0.15">
      <c r="A337" s="21" t="s">
        <v>32</v>
      </c>
      <c r="B337" s="21">
        <v>45029</v>
      </c>
      <c r="C337" s="21" t="s">
        <v>60</v>
      </c>
      <c r="D337" s="22">
        <v>14</v>
      </c>
    </row>
    <row r="338" spans="1:4" ht="14.25" customHeight="1" x14ac:dyDescent="0.15">
      <c r="A338" s="21" t="s">
        <v>32</v>
      </c>
      <c r="B338" s="21">
        <v>45027</v>
      </c>
      <c r="C338" s="21" t="s">
        <v>60</v>
      </c>
      <c r="D338" s="22">
        <v>14</v>
      </c>
    </row>
    <row r="339" spans="1:4" ht="14.25" customHeight="1" x14ac:dyDescent="0.15">
      <c r="A339" s="21" t="s">
        <v>32</v>
      </c>
      <c r="B339" s="21">
        <v>45027</v>
      </c>
      <c r="C339" s="21" t="s">
        <v>60</v>
      </c>
      <c r="D339" s="22">
        <v>14</v>
      </c>
    </row>
    <row r="340" spans="1:4" ht="14.25" customHeight="1" x14ac:dyDescent="0.15">
      <c r="A340" s="21" t="s">
        <v>32</v>
      </c>
      <c r="B340" s="21">
        <v>45027</v>
      </c>
      <c r="C340" s="21" t="s">
        <v>60</v>
      </c>
      <c r="D340" s="22">
        <v>14</v>
      </c>
    </row>
    <row r="341" spans="1:4" ht="14.25" customHeight="1" x14ac:dyDescent="0.15">
      <c r="A341" s="21" t="s">
        <v>32</v>
      </c>
      <c r="B341" s="21">
        <v>45027</v>
      </c>
      <c r="C341" s="21" t="s">
        <v>60</v>
      </c>
      <c r="D341" s="22">
        <v>14</v>
      </c>
    </row>
    <row r="342" spans="1:4" ht="14.25" customHeight="1" x14ac:dyDescent="0.15">
      <c r="A342" s="21" t="s">
        <v>32</v>
      </c>
      <c r="B342" s="21">
        <v>45026</v>
      </c>
      <c r="C342" s="21" t="s">
        <v>60</v>
      </c>
      <c r="D342" s="22">
        <v>14</v>
      </c>
    </row>
    <row r="343" spans="1:4" ht="14.25" customHeight="1" x14ac:dyDescent="0.15">
      <c r="A343" s="21" t="s">
        <v>32</v>
      </c>
      <c r="B343" s="21">
        <v>45026</v>
      </c>
      <c r="C343" s="21" t="s">
        <v>60</v>
      </c>
      <c r="D343" s="22">
        <v>14</v>
      </c>
    </row>
    <row r="344" spans="1:4" ht="14.25" customHeight="1" x14ac:dyDescent="0.15">
      <c r="A344" s="21" t="s">
        <v>32</v>
      </c>
      <c r="B344" s="21">
        <v>45023</v>
      </c>
      <c r="C344" s="21" t="s">
        <v>60</v>
      </c>
      <c r="D344" s="22">
        <v>14</v>
      </c>
    </row>
    <row r="345" spans="1:4" ht="14.25" customHeight="1" x14ac:dyDescent="0.15">
      <c r="A345" s="21" t="s">
        <v>32</v>
      </c>
      <c r="B345" s="21">
        <v>45023</v>
      </c>
      <c r="C345" s="21" t="s">
        <v>60</v>
      </c>
      <c r="D345" s="22">
        <v>14</v>
      </c>
    </row>
    <row r="346" spans="1:4" ht="14.25" customHeight="1" x14ac:dyDescent="0.15">
      <c r="A346" s="21" t="s">
        <v>32</v>
      </c>
      <c r="B346" s="21">
        <v>45023</v>
      </c>
      <c r="C346" s="21" t="s">
        <v>60</v>
      </c>
      <c r="D346" s="22">
        <v>14</v>
      </c>
    </row>
    <row r="347" spans="1:4" ht="14.25" customHeight="1" x14ac:dyDescent="0.15">
      <c r="A347" s="21" t="s">
        <v>32</v>
      </c>
      <c r="B347" s="21">
        <v>45023</v>
      </c>
      <c r="C347" s="21" t="s">
        <v>60</v>
      </c>
      <c r="D347" s="22">
        <v>14</v>
      </c>
    </row>
    <row r="348" spans="1:4" ht="14.25" customHeight="1" x14ac:dyDescent="0.15">
      <c r="A348" s="21" t="s">
        <v>32</v>
      </c>
      <c r="B348" s="21">
        <v>45022</v>
      </c>
      <c r="C348" s="21" t="s">
        <v>60</v>
      </c>
      <c r="D348" s="22">
        <v>14</v>
      </c>
    </row>
    <row r="349" spans="1:4" ht="14.25" customHeight="1" x14ac:dyDescent="0.15">
      <c r="A349" s="21" t="s">
        <v>32</v>
      </c>
      <c r="B349" s="21">
        <v>45022</v>
      </c>
      <c r="C349" s="21" t="s">
        <v>60</v>
      </c>
      <c r="D349" s="22">
        <v>14</v>
      </c>
    </row>
    <row r="350" spans="1:4" ht="14.25" customHeight="1" x14ac:dyDescent="0.15">
      <c r="A350" s="21" t="s">
        <v>32</v>
      </c>
      <c r="B350" s="21">
        <v>45021</v>
      </c>
      <c r="C350" s="21" t="s">
        <v>60</v>
      </c>
      <c r="D350" s="22">
        <v>14</v>
      </c>
    </row>
    <row r="351" spans="1:4" ht="14.25" customHeight="1" x14ac:dyDescent="0.15">
      <c r="A351" s="21" t="s">
        <v>32</v>
      </c>
      <c r="B351" s="21">
        <v>45021</v>
      </c>
      <c r="C351" s="21" t="s">
        <v>60</v>
      </c>
      <c r="D351" s="22">
        <v>14</v>
      </c>
    </row>
    <row r="352" spans="1:4" ht="14.25" customHeight="1" x14ac:dyDescent="0.15">
      <c r="A352" s="21" t="s">
        <v>32</v>
      </c>
      <c r="B352" s="21">
        <v>45021</v>
      </c>
      <c r="C352" s="21" t="s">
        <v>60</v>
      </c>
      <c r="D352" s="22">
        <v>14</v>
      </c>
    </row>
    <row r="353" spans="1:4" ht="14.25" customHeight="1" x14ac:dyDescent="0.15">
      <c r="A353" s="21" t="s">
        <v>32</v>
      </c>
      <c r="B353" s="21">
        <v>45021</v>
      </c>
      <c r="C353" s="21" t="s">
        <v>60</v>
      </c>
      <c r="D353" s="22">
        <v>14</v>
      </c>
    </row>
    <row r="354" spans="1:4" ht="14.25" customHeight="1" x14ac:dyDescent="0.15">
      <c r="A354" s="21" t="s">
        <v>32</v>
      </c>
      <c r="B354" s="21">
        <v>45021</v>
      </c>
      <c r="C354" s="21" t="s">
        <v>60</v>
      </c>
      <c r="D354" s="22">
        <v>14</v>
      </c>
    </row>
    <row r="355" spans="1:4" ht="14.25" customHeight="1" x14ac:dyDescent="0.15">
      <c r="A355" s="21" t="s">
        <v>32</v>
      </c>
      <c r="B355" s="21">
        <v>45020</v>
      </c>
      <c r="C355" s="21" t="s">
        <v>60</v>
      </c>
      <c r="D355" s="22">
        <v>14</v>
      </c>
    </row>
    <row r="356" spans="1:4" ht="14.25" customHeight="1" x14ac:dyDescent="0.15">
      <c r="A356" s="21" t="s">
        <v>32</v>
      </c>
      <c r="B356" s="21">
        <v>45020</v>
      </c>
      <c r="C356" s="21" t="s">
        <v>60</v>
      </c>
      <c r="D356" s="22">
        <v>14</v>
      </c>
    </row>
    <row r="357" spans="1:4" ht="14.25" customHeight="1" x14ac:dyDescent="0.15">
      <c r="A357" s="21" t="s">
        <v>32</v>
      </c>
      <c r="B357" s="21">
        <v>45020</v>
      </c>
      <c r="C357" s="21" t="s">
        <v>60</v>
      </c>
      <c r="D357" s="22">
        <v>14</v>
      </c>
    </row>
    <row r="358" spans="1:4" ht="14.25" customHeight="1" x14ac:dyDescent="0.15">
      <c r="A358" s="21" t="s">
        <v>32</v>
      </c>
      <c r="B358" s="21">
        <v>45019</v>
      </c>
      <c r="C358" s="21" t="s">
        <v>60</v>
      </c>
      <c r="D358" s="22">
        <v>14</v>
      </c>
    </row>
    <row r="359" spans="1:4" ht="14.25" customHeight="1" x14ac:dyDescent="0.15">
      <c r="A359" s="21" t="s">
        <v>32</v>
      </c>
      <c r="B359" s="21">
        <v>45019</v>
      </c>
      <c r="C359" s="21" t="s">
        <v>60</v>
      </c>
      <c r="D359" s="22">
        <v>14</v>
      </c>
    </row>
    <row r="360" spans="1:4" ht="14.25" customHeight="1" x14ac:dyDescent="0.15">
      <c r="A360" s="21" t="s">
        <v>32</v>
      </c>
      <c r="B360" s="21">
        <v>45019</v>
      </c>
      <c r="C360" s="21" t="s">
        <v>60</v>
      </c>
      <c r="D360" s="22">
        <v>14</v>
      </c>
    </row>
    <row r="361" spans="1:4" ht="14.25" customHeight="1" x14ac:dyDescent="0.15">
      <c r="A361" s="21" t="s">
        <v>32</v>
      </c>
      <c r="B361" s="21">
        <v>45019</v>
      </c>
      <c r="C361" s="21" t="s">
        <v>60</v>
      </c>
      <c r="D361" s="22">
        <v>14</v>
      </c>
    </row>
    <row r="362" spans="1:4" ht="14.25" customHeight="1" x14ac:dyDescent="0.15">
      <c r="A362" s="21" t="s">
        <v>32</v>
      </c>
      <c r="B362" s="21">
        <v>45019</v>
      </c>
      <c r="C362" s="21" t="s">
        <v>60</v>
      </c>
      <c r="D362" s="22">
        <v>14</v>
      </c>
    </row>
    <row r="363" spans="1:4" ht="14.25" customHeight="1" x14ac:dyDescent="0.15">
      <c r="A363" s="21" t="s">
        <v>32</v>
      </c>
      <c r="B363" s="21">
        <v>45019</v>
      </c>
      <c r="C363" s="21" t="s">
        <v>60</v>
      </c>
      <c r="D363" s="22">
        <v>14</v>
      </c>
    </row>
    <row r="364" spans="1:4" ht="14.25" customHeight="1" x14ac:dyDescent="0.15">
      <c r="A364" s="21" t="s">
        <v>32</v>
      </c>
      <c r="B364" s="21">
        <v>45019</v>
      </c>
      <c r="C364" s="21" t="s">
        <v>60</v>
      </c>
      <c r="D364" s="22">
        <v>14</v>
      </c>
    </row>
    <row r="365" spans="1:4" ht="14.25" customHeight="1" x14ac:dyDescent="0.15">
      <c r="A365" s="21" t="s">
        <v>32</v>
      </c>
      <c r="B365" s="21">
        <v>45019</v>
      </c>
      <c r="C365" s="21" t="s">
        <v>60</v>
      </c>
      <c r="D365" s="22">
        <v>14</v>
      </c>
    </row>
    <row r="366" spans="1:4" ht="14.25" customHeight="1" x14ac:dyDescent="0.15">
      <c r="A366" s="21" t="s">
        <v>32</v>
      </c>
      <c r="B366" s="21">
        <v>45096</v>
      </c>
      <c r="C366" s="21" t="s">
        <v>60</v>
      </c>
      <c r="D366" s="22">
        <v>12.27</v>
      </c>
    </row>
    <row r="367" spans="1:4" ht="14.25" customHeight="1" x14ac:dyDescent="0.15">
      <c r="A367" s="21" t="s">
        <v>32</v>
      </c>
      <c r="B367" s="21">
        <v>45096</v>
      </c>
      <c r="C367" s="21" t="s">
        <v>60</v>
      </c>
      <c r="D367" s="22">
        <v>12.27</v>
      </c>
    </row>
    <row r="368" spans="1:4" ht="14.25" customHeight="1" x14ac:dyDescent="0.15">
      <c r="A368" s="21" t="s">
        <v>32</v>
      </c>
      <c r="B368" s="21">
        <v>45093</v>
      </c>
      <c r="C368" s="21" t="s">
        <v>60</v>
      </c>
      <c r="D368" s="22">
        <v>12.27</v>
      </c>
    </row>
    <row r="369" spans="1:4" ht="14.25" customHeight="1" x14ac:dyDescent="0.15">
      <c r="A369" s="21" t="s">
        <v>55</v>
      </c>
      <c r="B369" s="21">
        <v>45107</v>
      </c>
      <c r="C369" s="21" t="s">
        <v>30</v>
      </c>
      <c r="D369" s="22">
        <v>59</v>
      </c>
    </row>
    <row r="370" spans="1:4" ht="14.25" customHeight="1" x14ac:dyDescent="0.15">
      <c r="A370" s="21" t="s">
        <v>55</v>
      </c>
      <c r="B370" s="21">
        <v>45107</v>
      </c>
      <c r="C370" s="21" t="s">
        <v>30</v>
      </c>
      <c r="D370" s="22">
        <v>59</v>
      </c>
    </row>
    <row r="371" spans="1:4" ht="14.25" customHeight="1" x14ac:dyDescent="0.15">
      <c r="A371" s="21" t="s">
        <v>55</v>
      </c>
      <c r="B371" s="21">
        <v>45107</v>
      </c>
      <c r="C371" s="21" t="s">
        <v>30</v>
      </c>
      <c r="D371" s="22">
        <v>59</v>
      </c>
    </row>
    <row r="372" spans="1:4" ht="14.25" customHeight="1" x14ac:dyDescent="0.15">
      <c r="A372" s="21" t="s">
        <v>55</v>
      </c>
      <c r="B372" s="21">
        <v>45107</v>
      </c>
      <c r="C372" s="21" t="s">
        <v>30</v>
      </c>
      <c r="D372" s="22">
        <v>59</v>
      </c>
    </row>
    <row r="373" spans="1:4" ht="14.25" customHeight="1" x14ac:dyDescent="0.15">
      <c r="A373" s="21" t="s">
        <v>32</v>
      </c>
      <c r="B373" s="21">
        <v>45018</v>
      </c>
      <c r="C373" s="21" t="s">
        <v>60</v>
      </c>
      <c r="D373" s="22">
        <v>12</v>
      </c>
    </row>
    <row r="374" spans="1:4" ht="14.25" customHeight="1" x14ac:dyDescent="0.15">
      <c r="A374" s="21" t="s">
        <v>32</v>
      </c>
      <c r="B374" s="21">
        <v>45019</v>
      </c>
      <c r="C374" s="21" t="s">
        <v>33</v>
      </c>
      <c r="D374" s="22">
        <v>9.48</v>
      </c>
    </row>
    <row r="375" spans="1:4" ht="14.25" customHeight="1" x14ac:dyDescent="0.15">
      <c r="A375" s="21" t="s">
        <v>32</v>
      </c>
      <c r="B375" s="21">
        <v>45019</v>
      </c>
      <c r="C375" s="21" t="s">
        <v>33</v>
      </c>
      <c r="D375" s="22">
        <v>9.48</v>
      </c>
    </row>
    <row r="376" spans="1:4" ht="14.25" customHeight="1" x14ac:dyDescent="0.15">
      <c r="A376" s="21" t="s">
        <v>32</v>
      </c>
      <c r="B376" s="21">
        <v>45019</v>
      </c>
      <c r="C376" s="21" t="s">
        <v>33</v>
      </c>
      <c r="D376" s="22">
        <v>9.48</v>
      </c>
    </row>
    <row r="377" spans="1:4" ht="14.25" customHeight="1" x14ac:dyDescent="0.15">
      <c r="A377" s="21" t="s">
        <v>32</v>
      </c>
      <c r="B377" s="21">
        <v>45019</v>
      </c>
      <c r="C377" s="21" t="s">
        <v>33</v>
      </c>
      <c r="D377" s="22">
        <v>9.48</v>
      </c>
    </row>
    <row r="378" spans="1:4" ht="14.25" customHeight="1" x14ac:dyDescent="0.15">
      <c r="A378" s="21" t="s">
        <v>32</v>
      </c>
      <c r="B378" s="21">
        <v>45019</v>
      </c>
      <c r="C378" s="21" t="s">
        <v>33</v>
      </c>
      <c r="D378" s="22">
        <v>9.48</v>
      </c>
    </row>
    <row r="379" spans="1:4" ht="14.25" customHeight="1" x14ac:dyDescent="0.15">
      <c r="A379" s="21" t="s">
        <v>32</v>
      </c>
      <c r="B379" s="21">
        <v>45019</v>
      </c>
      <c r="C379" s="21" t="s">
        <v>33</v>
      </c>
      <c r="D379" s="22">
        <v>9.48</v>
      </c>
    </row>
    <row r="380" spans="1:4" ht="14.25" customHeight="1" x14ac:dyDescent="0.15">
      <c r="A380" s="21" t="s">
        <v>32</v>
      </c>
      <c r="B380" s="21">
        <v>45032</v>
      </c>
      <c r="C380" s="21" t="s">
        <v>33</v>
      </c>
      <c r="D380" s="22">
        <v>9.42</v>
      </c>
    </row>
    <row r="381" spans="1:4" ht="14.25" customHeight="1" x14ac:dyDescent="0.15">
      <c r="A381" s="21" t="s">
        <v>32</v>
      </c>
      <c r="B381" s="21">
        <v>45075</v>
      </c>
      <c r="C381" s="21" t="s">
        <v>33</v>
      </c>
      <c r="D381" s="22">
        <v>9.41</v>
      </c>
    </row>
    <row r="382" spans="1:4" ht="14.25" customHeight="1" x14ac:dyDescent="0.15">
      <c r="A382" s="21" t="s">
        <v>32</v>
      </c>
      <c r="B382" s="21">
        <v>45040</v>
      </c>
      <c r="C382" s="21" t="s">
        <v>33</v>
      </c>
      <c r="D382" s="22">
        <v>9.3800000000000008</v>
      </c>
    </row>
    <row r="383" spans="1:4" ht="14.25" customHeight="1" x14ac:dyDescent="0.15">
      <c r="A383" s="21" t="s">
        <v>32</v>
      </c>
      <c r="B383" s="21">
        <v>45028</v>
      </c>
      <c r="C383" s="21" t="s">
        <v>33</v>
      </c>
      <c r="D383" s="22">
        <v>9.3800000000000008</v>
      </c>
    </row>
    <row r="384" spans="1:4" ht="14.25" customHeight="1" x14ac:dyDescent="0.15">
      <c r="A384" s="21" t="s">
        <v>32</v>
      </c>
      <c r="B384" s="21">
        <v>45020</v>
      </c>
      <c r="C384" s="21" t="s">
        <v>33</v>
      </c>
      <c r="D384" s="22">
        <v>9.3800000000000008</v>
      </c>
    </row>
    <row r="385" spans="1:4" ht="14.25" customHeight="1" x14ac:dyDescent="0.15">
      <c r="A385" s="21" t="s">
        <v>32</v>
      </c>
      <c r="B385" s="21">
        <v>45020</v>
      </c>
      <c r="C385" s="21" t="s">
        <v>33</v>
      </c>
      <c r="D385" s="22">
        <v>9.3800000000000008</v>
      </c>
    </row>
    <row r="386" spans="1:4" ht="14.25" customHeight="1" x14ac:dyDescent="0.15">
      <c r="A386" s="21" t="s">
        <v>32</v>
      </c>
      <c r="B386" s="21">
        <v>45023</v>
      </c>
      <c r="C386" s="21" t="s">
        <v>33</v>
      </c>
      <c r="D386" s="22">
        <v>9.3699999999999992</v>
      </c>
    </row>
    <row r="387" spans="1:4" ht="14.25" customHeight="1" x14ac:dyDescent="0.15">
      <c r="A387" s="21" t="s">
        <v>32</v>
      </c>
      <c r="B387" s="21">
        <v>45022</v>
      </c>
      <c r="C387" s="21" t="s">
        <v>33</v>
      </c>
      <c r="D387" s="22">
        <v>9.35</v>
      </c>
    </row>
    <row r="388" spans="1:4" ht="14.25" customHeight="1" x14ac:dyDescent="0.15">
      <c r="A388" s="21" t="s">
        <v>32</v>
      </c>
      <c r="B388" s="21">
        <v>45021</v>
      </c>
      <c r="C388" s="21" t="s">
        <v>33</v>
      </c>
      <c r="D388" s="22">
        <v>9.34</v>
      </c>
    </row>
    <row r="389" spans="1:4" ht="14.25" customHeight="1" x14ac:dyDescent="0.15">
      <c r="A389" s="21" t="s">
        <v>32</v>
      </c>
      <c r="B389" s="21">
        <v>45021</v>
      </c>
      <c r="C389" s="21" t="s">
        <v>33</v>
      </c>
      <c r="D389" s="22">
        <v>9.34</v>
      </c>
    </row>
    <row r="390" spans="1:4" ht="14.25" customHeight="1" x14ac:dyDescent="0.15">
      <c r="A390" s="21" t="s">
        <v>32</v>
      </c>
      <c r="B390" s="21">
        <v>45021</v>
      </c>
      <c r="C390" s="21" t="s">
        <v>33</v>
      </c>
      <c r="D390" s="22">
        <v>9.34</v>
      </c>
    </row>
    <row r="391" spans="1:4" ht="14.25" customHeight="1" x14ac:dyDescent="0.15">
      <c r="A391" s="21" t="s">
        <v>32</v>
      </c>
      <c r="B391" s="21">
        <v>45080</v>
      </c>
      <c r="C391" s="21" t="s">
        <v>33</v>
      </c>
      <c r="D391" s="22">
        <v>9.33</v>
      </c>
    </row>
    <row r="392" spans="1:4" ht="14.25" customHeight="1" x14ac:dyDescent="0.15">
      <c r="A392" s="21" t="s">
        <v>32</v>
      </c>
      <c r="B392" s="21">
        <v>45059</v>
      </c>
      <c r="C392" s="21" t="s">
        <v>33</v>
      </c>
      <c r="D392" s="22">
        <v>9.32</v>
      </c>
    </row>
    <row r="393" spans="1:4" ht="14.25" customHeight="1" x14ac:dyDescent="0.15">
      <c r="A393" s="21" t="s">
        <v>32</v>
      </c>
      <c r="B393" s="21">
        <v>45059</v>
      </c>
      <c r="C393" s="21" t="s">
        <v>33</v>
      </c>
      <c r="D393" s="22">
        <v>9.32</v>
      </c>
    </row>
    <row r="394" spans="1:4" ht="14.25" customHeight="1" x14ac:dyDescent="0.15">
      <c r="A394" s="21" t="s">
        <v>32</v>
      </c>
      <c r="B394" s="21">
        <v>45059</v>
      </c>
      <c r="C394" s="21" t="s">
        <v>33</v>
      </c>
      <c r="D394" s="22">
        <v>9.32</v>
      </c>
    </row>
    <row r="395" spans="1:4" ht="14.25" customHeight="1" x14ac:dyDescent="0.15">
      <c r="A395" s="21" t="s">
        <v>32</v>
      </c>
      <c r="B395" s="21">
        <v>45059</v>
      </c>
      <c r="C395" s="21" t="s">
        <v>33</v>
      </c>
      <c r="D395" s="22">
        <v>9.32</v>
      </c>
    </row>
    <row r="396" spans="1:4" ht="14.25" customHeight="1" x14ac:dyDescent="0.15">
      <c r="A396" s="21" t="s">
        <v>32</v>
      </c>
      <c r="B396" s="21">
        <v>45081</v>
      </c>
      <c r="C396" s="21" t="s">
        <v>33</v>
      </c>
      <c r="D396" s="22">
        <v>9.31</v>
      </c>
    </row>
    <row r="397" spans="1:4" ht="14.25" customHeight="1" x14ac:dyDescent="0.15">
      <c r="A397" s="21" t="s">
        <v>32</v>
      </c>
      <c r="B397" s="21">
        <v>45047</v>
      </c>
      <c r="C397" s="21" t="s">
        <v>33</v>
      </c>
      <c r="D397" s="22">
        <v>9.31</v>
      </c>
    </row>
    <row r="398" spans="1:4" ht="14.25" customHeight="1" x14ac:dyDescent="0.15">
      <c r="A398" s="21" t="s">
        <v>32</v>
      </c>
      <c r="B398" s="21">
        <v>45031</v>
      </c>
      <c r="C398" s="21" t="s">
        <v>33</v>
      </c>
      <c r="D398" s="22">
        <v>9.31</v>
      </c>
    </row>
    <row r="399" spans="1:4" ht="14.25" customHeight="1" x14ac:dyDescent="0.15">
      <c r="A399" s="21" t="s">
        <v>32</v>
      </c>
      <c r="B399" s="21">
        <v>45031</v>
      </c>
      <c r="C399" s="21" t="s">
        <v>33</v>
      </c>
      <c r="D399" s="22">
        <v>9.31</v>
      </c>
    </row>
    <row r="400" spans="1:4" ht="14.25" customHeight="1" x14ac:dyDescent="0.15">
      <c r="A400" s="21" t="s">
        <v>32</v>
      </c>
      <c r="B400" s="21">
        <v>45062</v>
      </c>
      <c r="C400" s="21" t="s">
        <v>33</v>
      </c>
      <c r="D400" s="22">
        <v>9.3000000000000007</v>
      </c>
    </row>
    <row r="401" spans="1:4" ht="14.25" customHeight="1" x14ac:dyDescent="0.15">
      <c r="A401" s="21" t="s">
        <v>32</v>
      </c>
      <c r="B401" s="21">
        <v>45061</v>
      </c>
      <c r="C401" s="21" t="s">
        <v>33</v>
      </c>
      <c r="D401" s="22">
        <v>9.3000000000000007</v>
      </c>
    </row>
    <row r="402" spans="1:4" ht="14.25" customHeight="1" x14ac:dyDescent="0.15">
      <c r="A402" s="21" t="s">
        <v>55</v>
      </c>
      <c r="B402" s="21">
        <v>45092</v>
      </c>
      <c r="C402" s="21" t="s">
        <v>60</v>
      </c>
      <c r="D402" s="22">
        <v>9</v>
      </c>
    </row>
    <row r="403" spans="1:4" ht="14.25" customHeight="1" x14ac:dyDescent="0.15">
      <c r="A403" s="21" t="s">
        <v>32</v>
      </c>
      <c r="B403" s="21">
        <v>45025</v>
      </c>
      <c r="C403" s="21" t="s">
        <v>33</v>
      </c>
      <c r="D403" s="22">
        <v>9.3000000000000007</v>
      </c>
    </row>
    <row r="404" spans="1:4" ht="14.25" customHeight="1" x14ac:dyDescent="0.15">
      <c r="A404" s="21" t="s">
        <v>32</v>
      </c>
      <c r="B404" s="21">
        <v>45088</v>
      </c>
      <c r="C404" s="21" t="s">
        <v>33</v>
      </c>
      <c r="D404" s="22">
        <v>9.24</v>
      </c>
    </row>
    <row r="405" spans="1:4" ht="14.25" customHeight="1" x14ac:dyDescent="0.15">
      <c r="A405" s="21" t="s">
        <v>32</v>
      </c>
      <c r="B405" s="21">
        <v>45057</v>
      </c>
      <c r="C405" s="21" t="s">
        <v>33</v>
      </c>
      <c r="D405" s="22">
        <v>9.23</v>
      </c>
    </row>
    <row r="406" spans="1:4" ht="14.25" customHeight="1" x14ac:dyDescent="0.15">
      <c r="A406" s="21" t="s">
        <v>32</v>
      </c>
      <c r="B406" s="21">
        <v>45056</v>
      </c>
      <c r="C406" s="21" t="s">
        <v>33</v>
      </c>
      <c r="D406" s="22">
        <v>9.2200000000000006</v>
      </c>
    </row>
    <row r="407" spans="1:4" ht="14.25" customHeight="1" x14ac:dyDescent="0.15">
      <c r="A407" s="21" t="s">
        <v>61</v>
      </c>
      <c r="B407" s="21">
        <v>45021</v>
      </c>
      <c r="C407" s="21" t="s">
        <v>60</v>
      </c>
      <c r="D407" s="22">
        <v>4.7</v>
      </c>
    </row>
    <row r="408" spans="1:4" ht="14.25" customHeight="1" x14ac:dyDescent="0.15">
      <c r="A408" s="21" t="s">
        <v>32</v>
      </c>
      <c r="B408" s="21">
        <v>45053</v>
      </c>
      <c r="C408" s="21" t="s">
        <v>33</v>
      </c>
      <c r="D408" s="22">
        <v>9.1999999999999993</v>
      </c>
    </row>
    <row r="409" spans="1:4" ht="14.25" customHeight="1" x14ac:dyDescent="0.15">
      <c r="A409" s="21" t="s">
        <v>32</v>
      </c>
      <c r="B409" s="21">
        <v>45053</v>
      </c>
      <c r="C409" s="21" t="s">
        <v>33</v>
      </c>
      <c r="D409" s="22">
        <v>9.1999999999999993</v>
      </c>
    </row>
    <row r="410" spans="1:4" ht="14.25" customHeight="1" x14ac:dyDescent="0.15">
      <c r="A410" s="21" t="s">
        <v>32</v>
      </c>
      <c r="B410" s="21">
        <v>45052</v>
      </c>
      <c r="C410" s="21" t="s">
        <v>33</v>
      </c>
      <c r="D410" s="22">
        <v>9.1999999999999993</v>
      </c>
    </row>
    <row r="411" spans="1:4" ht="14.25" customHeight="1" x14ac:dyDescent="0.15">
      <c r="A411" s="21" t="s">
        <v>61</v>
      </c>
      <c r="B411" s="21">
        <v>45021</v>
      </c>
      <c r="C411" s="21" t="s">
        <v>60</v>
      </c>
      <c r="D411" s="22">
        <v>4.7</v>
      </c>
    </row>
    <row r="412" spans="1:4" ht="14.25" customHeight="1" x14ac:dyDescent="0.15">
      <c r="A412" s="21" t="s">
        <v>32</v>
      </c>
      <c r="B412" s="21">
        <v>45052</v>
      </c>
      <c r="C412" s="21" t="s">
        <v>33</v>
      </c>
      <c r="D412" s="22">
        <v>9.1999999999999993</v>
      </c>
    </row>
    <row r="413" spans="1:4" ht="14.25" customHeight="1" x14ac:dyDescent="0.15">
      <c r="A413" s="21" t="s">
        <v>32</v>
      </c>
      <c r="B413" s="21">
        <v>45051</v>
      </c>
      <c r="C413" s="21" t="s">
        <v>33</v>
      </c>
      <c r="D413" s="22">
        <v>9.1999999999999993</v>
      </c>
    </row>
    <row r="414" spans="1:4" ht="14.25" customHeight="1" x14ac:dyDescent="0.15">
      <c r="A414" s="21" t="s">
        <v>32</v>
      </c>
      <c r="B414" s="21">
        <v>45107</v>
      </c>
      <c r="C414" s="21" t="s">
        <v>33</v>
      </c>
      <c r="D414" s="22">
        <v>8.51</v>
      </c>
    </row>
    <row r="415" spans="1:4" ht="14.25" customHeight="1" x14ac:dyDescent="0.15">
      <c r="A415" s="21" t="s">
        <v>32</v>
      </c>
      <c r="B415" s="21">
        <v>45105</v>
      </c>
      <c r="C415" s="21" t="s">
        <v>33</v>
      </c>
      <c r="D415" s="22">
        <v>8.51</v>
      </c>
    </row>
    <row r="416" spans="1:4" ht="14.25" customHeight="1" x14ac:dyDescent="0.15">
      <c r="A416" s="21" t="s">
        <v>32</v>
      </c>
      <c r="B416" s="21">
        <v>45096</v>
      </c>
      <c r="C416" s="21" t="s">
        <v>33</v>
      </c>
      <c r="D416" s="22">
        <v>6.96</v>
      </c>
    </row>
    <row r="417" spans="1:4" ht="14.25" customHeight="1" x14ac:dyDescent="0.15">
      <c r="A417" s="21" t="s">
        <v>32</v>
      </c>
      <c r="B417" s="21">
        <v>45096</v>
      </c>
      <c r="C417" s="21" t="s">
        <v>33</v>
      </c>
      <c r="D417" s="22">
        <v>6.51</v>
      </c>
    </row>
    <row r="418" spans="1:4" ht="14.25" customHeight="1" x14ac:dyDescent="0.15">
      <c r="A418" s="21" t="s">
        <v>61</v>
      </c>
      <c r="B418" s="21">
        <v>45021</v>
      </c>
      <c r="C418" s="21" t="s">
        <v>60</v>
      </c>
      <c r="D418" s="22">
        <v>4.7</v>
      </c>
    </row>
    <row r="419" spans="1:4" ht="14.25" customHeight="1" x14ac:dyDescent="0.15">
      <c r="A419" s="21" t="s">
        <v>32</v>
      </c>
      <c r="B419" s="21">
        <v>45095</v>
      </c>
      <c r="C419" s="21" t="s">
        <v>33</v>
      </c>
      <c r="D419" s="22">
        <v>6.51</v>
      </c>
    </row>
    <row r="420" spans="1:4" ht="14.25" customHeight="1" x14ac:dyDescent="0.15">
      <c r="A420" s="21" t="s">
        <v>61</v>
      </c>
      <c r="B420" s="21">
        <v>45014</v>
      </c>
      <c r="C420" s="21" t="s">
        <v>56</v>
      </c>
      <c r="D420" s="22">
        <v>6500</v>
      </c>
    </row>
    <row r="421" spans="1:4" ht="14.25" customHeight="1" x14ac:dyDescent="0.15">
      <c r="A421" s="21" t="s">
        <v>61</v>
      </c>
      <c r="B421" s="21">
        <v>45014</v>
      </c>
      <c r="C421" s="21" t="s">
        <v>56</v>
      </c>
      <c r="D421" s="22">
        <v>6500</v>
      </c>
    </row>
    <row r="422" spans="1:4" ht="14.25" customHeight="1" x14ac:dyDescent="0.15">
      <c r="A422" s="21" t="s">
        <v>61</v>
      </c>
      <c r="B422" s="21">
        <v>45014</v>
      </c>
      <c r="C422" s="21" t="s">
        <v>56</v>
      </c>
      <c r="D422" s="22">
        <v>6500</v>
      </c>
    </row>
    <row r="423" spans="1:4" ht="14.25" customHeight="1" x14ac:dyDescent="0.15">
      <c r="A423" s="21" t="s">
        <v>61</v>
      </c>
      <c r="B423" s="21">
        <v>45014</v>
      </c>
      <c r="C423" s="21" t="s">
        <v>56</v>
      </c>
      <c r="D423" s="22">
        <v>6500</v>
      </c>
    </row>
    <row r="424" spans="1:4" ht="14.25" customHeight="1" x14ac:dyDescent="0.15">
      <c r="A424" s="21" t="s">
        <v>55</v>
      </c>
      <c r="B424" s="21">
        <v>45089</v>
      </c>
      <c r="C424" s="21" t="s">
        <v>33</v>
      </c>
      <c r="D424" s="22">
        <v>20</v>
      </c>
    </row>
    <row r="425" spans="1:4" ht="14.25" customHeight="1" x14ac:dyDescent="0.15">
      <c r="A425" s="21"/>
      <c r="B425" s="21"/>
      <c r="C425" s="21"/>
      <c r="D425" s="22">
        <f>SUBTOTAL(109,'AGG FXN'!$D$2:$D$424)</f>
        <v>1375020.4500000009</v>
      </c>
    </row>
    <row r="426" spans="1:4" ht="14.25" customHeight="1" x14ac:dyDescent="0.15">
      <c r="B426" s="28"/>
      <c r="D426" s="29"/>
    </row>
    <row r="427" spans="1:4" ht="14.25" customHeight="1" x14ac:dyDescent="0.15">
      <c r="B427" s="28"/>
      <c r="D427" s="29"/>
    </row>
    <row r="428" spans="1:4" ht="14.25" customHeight="1" x14ac:dyDescent="0.15">
      <c r="B428" s="28"/>
      <c r="D428" s="29"/>
    </row>
    <row r="429" spans="1:4" ht="14.25" customHeight="1" x14ac:dyDescent="0.15">
      <c r="B429" s="28"/>
      <c r="D429" s="29"/>
    </row>
    <row r="430" spans="1:4" ht="14.25" customHeight="1" x14ac:dyDescent="0.15">
      <c r="B430" s="28"/>
      <c r="D430" s="29"/>
    </row>
    <row r="431" spans="1:4" ht="14.25" customHeight="1" x14ac:dyDescent="0.15">
      <c r="B431" s="28"/>
      <c r="D431" s="29"/>
    </row>
    <row r="432" spans="1:4" ht="14.25" customHeight="1" x14ac:dyDescent="0.15">
      <c r="B432" s="28"/>
      <c r="D432" s="29"/>
    </row>
    <row r="433" spans="2:4" ht="14.25" customHeight="1" x14ac:dyDescent="0.15">
      <c r="B433" s="28"/>
      <c r="D433" s="29"/>
    </row>
    <row r="434" spans="2:4" ht="14.25" customHeight="1" x14ac:dyDescent="0.15">
      <c r="B434" s="28"/>
      <c r="D434" s="29"/>
    </row>
    <row r="435" spans="2:4" ht="14.25" customHeight="1" x14ac:dyDescent="0.15">
      <c r="B435" s="28"/>
      <c r="D435" s="29"/>
    </row>
    <row r="436" spans="2:4" ht="14.25" customHeight="1" x14ac:dyDescent="0.15">
      <c r="B436" s="28"/>
      <c r="D436" s="29"/>
    </row>
    <row r="437" spans="2:4" ht="14.25" customHeight="1" x14ac:dyDescent="0.15">
      <c r="B437" s="28"/>
      <c r="D437" s="29"/>
    </row>
    <row r="438" spans="2:4" ht="14.25" customHeight="1" x14ac:dyDescent="0.15">
      <c r="B438" s="28"/>
      <c r="D438" s="29"/>
    </row>
    <row r="439" spans="2:4" ht="14.25" customHeight="1" x14ac:dyDescent="0.15">
      <c r="B439" s="28"/>
      <c r="D439" s="29"/>
    </row>
    <row r="440" spans="2:4" ht="14.25" customHeight="1" x14ac:dyDescent="0.15">
      <c r="B440" s="28"/>
      <c r="D440" s="29"/>
    </row>
    <row r="441" spans="2:4" ht="14.25" customHeight="1" x14ac:dyDescent="0.15">
      <c r="B441" s="28"/>
      <c r="D441" s="29"/>
    </row>
    <row r="442" spans="2:4" ht="14.25" customHeight="1" x14ac:dyDescent="0.15">
      <c r="B442" s="28"/>
      <c r="D442" s="29"/>
    </row>
    <row r="443" spans="2:4" ht="14.25" customHeight="1" x14ac:dyDescent="0.15">
      <c r="B443" s="28"/>
      <c r="D443" s="29"/>
    </row>
    <row r="444" spans="2:4" ht="14.25" customHeight="1" x14ac:dyDescent="0.15">
      <c r="B444" s="28"/>
      <c r="D444" s="29"/>
    </row>
    <row r="445" spans="2:4" ht="14.25" customHeight="1" x14ac:dyDescent="0.15">
      <c r="B445" s="28"/>
      <c r="D445" s="29"/>
    </row>
    <row r="446" spans="2:4" ht="14.25" customHeight="1" x14ac:dyDescent="0.15">
      <c r="B446" s="28"/>
      <c r="D446" s="29"/>
    </row>
    <row r="447" spans="2:4" ht="14.25" customHeight="1" x14ac:dyDescent="0.15">
      <c r="B447" s="28"/>
      <c r="D447" s="29"/>
    </row>
    <row r="448" spans="2:4" ht="14.25" customHeight="1" x14ac:dyDescent="0.15">
      <c r="B448" s="28"/>
      <c r="D448" s="29"/>
    </row>
    <row r="449" spans="2:4" ht="14.25" customHeight="1" x14ac:dyDescent="0.15">
      <c r="B449" s="28"/>
      <c r="D449" s="29"/>
    </row>
    <row r="450" spans="2:4" ht="14.25" customHeight="1" x14ac:dyDescent="0.15">
      <c r="B450" s="28"/>
      <c r="D450" s="29"/>
    </row>
    <row r="451" spans="2:4" ht="14.25" customHeight="1" x14ac:dyDescent="0.15">
      <c r="B451" s="28"/>
      <c r="D451" s="29"/>
    </row>
    <row r="452" spans="2:4" ht="14.25" customHeight="1" x14ac:dyDescent="0.15">
      <c r="B452" s="28"/>
      <c r="D452" s="29"/>
    </row>
    <row r="453" spans="2:4" ht="14.25" customHeight="1" x14ac:dyDescent="0.15">
      <c r="B453" s="28"/>
      <c r="D453" s="29"/>
    </row>
    <row r="454" spans="2:4" ht="14.25" customHeight="1" x14ac:dyDescent="0.15">
      <c r="B454" s="28"/>
      <c r="D454" s="29"/>
    </row>
    <row r="455" spans="2:4" ht="14.25" customHeight="1" x14ac:dyDescent="0.15">
      <c r="B455" s="28"/>
      <c r="D455" s="29"/>
    </row>
    <row r="456" spans="2:4" ht="14.25" customHeight="1" x14ac:dyDescent="0.15">
      <c r="B456" s="28"/>
      <c r="D456" s="29"/>
    </row>
    <row r="457" spans="2:4" ht="14.25" customHeight="1" x14ac:dyDescent="0.15">
      <c r="B457" s="28"/>
      <c r="D457" s="29"/>
    </row>
    <row r="458" spans="2:4" ht="14.25" customHeight="1" x14ac:dyDescent="0.15">
      <c r="B458" s="28"/>
      <c r="D458" s="29"/>
    </row>
    <row r="459" spans="2:4" ht="14.25" customHeight="1" x14ac:dyDescent="0.15">
      <c r="B459" s="28"/>
      <c r="D459" s="29"/>
    </row>
    <row r="460" spans="2:4" ht="14.25" customHeight="1" x14ac:dyDescent="0.15">
      <c r="B460" s="28"/>
      <c r="D460" s="29"/>
    </row>
    <row r="461" spans="2:4" ht="14.25" customHeight="1" x14ac:dyDescent="0.15">
      <c r="B461" s="28"/>
      <c r="D461" s="29"/>
    </row>
    <row r="462" spans="2:4" ht="14.25" customHeight="1" x14ac:dyDescent="0.15">
      <c r="B462" s="28"/>
      <c r="D462" s="29"/>
    </row>
    <row r="463" spans="2:4" ht="14.25" customHeight="1" x14ac:dyDescent="0.15">
      <c r="B463" s="28"/>
      <c r="D463" s="29"/>
    </row>
    <row r="464" spans="2:4" ht="14.25" customHeight="1" x14ac:dyDescent="0.15">
      <c r="B464" s="28"/>
      <c r="D464" s="29"/>
    </row>
    <row r="465" spans="2:4" ht="14.25" customHeight="1" x14ac:dyDescent="0.15">
      <c r="B465" s="28"/>
      <c r="D465" s="29"/>
    </row>
    <row r="466" spans="2:4" ht="14.25" customHeight="1" x14ac:dyDescent="0.15">
      <c r="B466" s="28"/>
      <c r="D466" s="29"/>
    </row>
    <row r="467" spans="2:4" ht="14.25" customHeight="1" x14ac:dyDescent="0.15">
      <c r="B467" s="28"/>
      <c r="D467" s="29"/>
    </row>
    <row r="468" spans="2:4" ht="14.25" customHeight="1" x14ac:dyDescent="0.15">
      <c r="B468" s="28"/>
      <c r="D468" s="29"/>
    </row>
    <row r="469" spans="2:4" ht="14.25" customHeight="1" x14ac:dyDescent="0.15">
      <c r="B469" s="28"/>
      <c r="D469" s="29"/>
    </row>
    <row r="470" spans="2:4" ht="14.25" customHeight="1" x14ac:dyDescent="0.15">
      <c r="B470" s="28"/>
      <c r="D470" s="29"/>
    </row>
    <row r="471" spans="2:4" ht="14.25" customHeight="1" x14ac:dyDescent="0.15">
      <c r="B471" s="28"/>
      <c r="D471" s="29"/>
    </row>
    <row r="472" spans="2:4" ht="14.25" customHeight="1" x14ac:dyDescent="0.15">
      <c r="B472" s="28"/>
      <c r="D472" s="29"/>
    </row>
    <row r="473" spans="2:4" ht="14.25" customHeight="1" x14ac:dyDescent="0.15">
      <c r="B473" s="28"/>
      <c r="D473" s="29"/>
    </row>
    <row r="474" spans="2:4" ht="14.25" customHeight="1" x14ac:dyDescent="0.15">
      <c r="B474" s="28"/>
      <c r="D474" s="29"/>
    </row>
    <row r="475" spans="2:4" ht="14.25" customHeight="1" x14ac:dyDescent="0.15">
      <c r="B475" s="28"/>
      <c r="D475" s="29"/>
    </row>
    <row r="476" spans="2:4" ht="14.25" customHeight="1" x14ac:dyDescent="0.15">
      <c r="B476" s="28"/>
      <c r="D476" s="29"/>
    </row>
    <row r="477" spans="2:4" ht="14.25" customHeight="1" x14ac:dyDescent="0.15">
      <c r="B477" s="28"/>
      <c r="D477" s="29"/>
    </row>
    <row r="478" spans="2:4" ht="14.25" customHeight="1" x14ac:dyDescent="0.15">
      <c r="B478" s="28"/>
      <c r="D478" s="29"/>
    </row>
    <row r="479" spans="2:4" ht="14.25" customHeight="1" x14ac:dyDescent="0.15">
      <c r="B479" s="28"/>
      <c r="D479" s="29"/>
    </row>
    <row r="480" spans="2:4" ht="14.25" customHeight="1" x14ac:dyDescent="0.15">
      <c r="B480" s="28"/>
      <c r="D480" s="29"/>
    </row>
    <row r="481" spans="2:4" ht="14.25" customHeight="1" x14ac:dyDescent="0.15">
      <c r="B481" s="28"/>
      <c r="D481" s="29"/>
    </row>
    <row r="482" spans="2:4" ht="14.25" customHeight="1" x14ac:dyDescent="0.15">
      <c r="B482" s="28"/>
      <c r="D482" s="29"/>
    </row>
    <row r="483" spans="2:4" ht="14.25" customHeight="1" x14ac:dyDescent="0.15">
      <c r="B483" s="28"/>
      <c r="D483" s="29"/>
    </row>
    <row r="484" spans="2:4" ht="14.25" customHeight="1" x14ac:dyDescent="0.15">
      <c r="B484" s="28"/>
      <c r="D484" s="29"/>
    </row>
    <row r="485" spans="2:4" ht="14.25" customHeight="1" x14ac:dyDescent="0.15">
      <c r="B485" s="28"/>
      <c r="D485" s="29"/>
    </row>
    <row r="486" spans="2:4" ht="14.25" customHeight="1" x14ac:dyDescent="0.15">
      <c r="B486" s="28"/>
      <c r="D486" s="29"/>
    </row>
    <row r="487" spans="2:4" ht="14.25" customHeight="1" x14ac:dyDescent="0.15">
      <c r="B487" s="28"/>
      <c r="D487" s="29"/>
    </row>
    <row r="488" spans="2:4" ht="14.25" customHeight="1" x14ac:dyDescent="0.15">
      <c r="B488" s="28"/>
      <c r="D488" s="29"/>
    </row>
    <row r="489" spans="2:4" ht="14.25" customHeight="1" x14ac:dyDescent="0.15">
      <c r="B489" s="28"/>
      <c r="D489" s="29"/>
    </row>
    <row r="490" spans="2:4" ht="14.25" customHeight="1" x14ac:dyDescent="0.15">
      <c r="B490" s="28"/>
      <c r="D490" s="29"/>
    </row>
    <row r="491" spans="2:4" ht="14.25" customHeight="1" x14ac:dyDescent="0.15">
      <c r="B491" s="28"/>
      <c r="D491" s="29"/>
    </row>
    <row r="492" spans="2:4" ht="14.25" customHeight="1" x14ac:dyDescent="0.15">
      <c r="B492" s="28"/>
      <c r="D492" s="29"/>
    </row>
    <row r="493" spans="2:4" ht="14.25" customHeight="1" x14ac:dyDescent="0.15">
      <c r="B493" s="28"/>
      <c r="D493" s="29"/>
    </row>
    <row r="494" spans="2:4" ht="14.25" customHeight="1" x14ac:dyDescent="0.15">
      <c r="B494" s="28"/>
      <c r="D494" s="29"/>
    </row>
    <row r="495" spans="2:4" ht="14.25" customHeight="1" x14ac:dyDescent="0.15">
      <c r="B495" s="28"/>
      <c r="D495" s="29"/>
    </row>
    <row r="496" spans="2:4" ht="14.25" customHeight="1" x14ac:dyDescent="0.15">
      <c r="B496" s="28"/>
      <c r="D496" s="29"/>
    </row>
    <row r="497" spans="2:4" ht="14.25" customHeight="1" x14ac:dyDescent="0.15">
      <c r="B497" s="28"/>
      <c r="D497" s="29"/>
    </row>
    <row r="498" spans="2:4" ht="14.25" customHeight="1" x14ac:dyDescent="0.15">
      <c r="B498" s="28"/>
      <c r="D498" s="29"/>
    </row>
    <row r="499" spans="2:4" ht="14.25" customHeight="1" x14ac:dyDescent="0.15">
      <c r="B499" s="28"/>
      <c r="D499" s="29"/>
    </row>
    <row r="500" spans="2:4" ht="14.25" customHeight="1" x14ac:dyDescent="0.15">
      <c r="B500" s="28"/>
      <c r="D500" s="29"/>
    </row>
    <row r="501" spans="2:4" ht="14.25" customHeight="1" x14ac:dyDescent="0.15">
      <c r="B501" s="28"/>
      <c r="D501" s="29"/>
    </row>
    <row r="502" spans="2:4" ht="14.25" customHeight="1" x14ac:dyDescent="0.15">
      <c r="B502" s="28"/>
      <c r="D502" s="29"/>
    </row>
    <row r="503" spans="2:4" ht="14.25" customHeight="1" x14ac:dyDescent="0.15">
      <c r="B503" s="28"/>
      <c r="D503" s="29"/>
    </row>
    <row r="504" spans="2:4" ht="14.25" customHeight="1" x14ac:dyDescent="0.15">
      <c r="B504" s="28"/>
      <c r="D504" s="29"/>
    </row>
    <row r="505" spans="2:4" ht="14.25" customHeight="1" x14ac:dyDescent="0.15">
      <c r="B505" s="28"/>
      <c r="D505" s="29"/>
    </row>
    <row r="506" spans="2:4" ht="14.25" customHeight="1" x14ac:dyDescent="0.15">
      <c r="B506" s="28"/>
      <c r="D506" s="29"/>
    </row>
    <row r="507" spans="2:4" ht="14.25" customHeight="1" x14ac:dyDescent="0.15">
      <c r="B507" s="28"/>
      <c r="D507" s="29"/>
    </row>
    <row r="508" spans="2:4" ht="14.25" customHeight="1" x14ac:dyDescent="0.15">
      <c r="B508" s="28"/>
      <c r="D508" s="29"/>
    </row>
    <row r="509" spans="2:4" ht="14.25" customHeight="1" x14ac:dyDescent="0.15">
      <c r="B509" s="28"/>
      <c r="D509" s="29"/>
    </row>
    <row r="510" spans="2:4" ht="14.25" customHeight="1" x14ac:dyDescent="0.15">
      <c r="B510" s="28"/>
      <c r="D510" s="29"/>
    </row>
    <row r="511" spans="2:4" ht="14.25" customHeight="1" x14ac:dyDescent="0.15">
      <c r="B511" s="28"/>
      <c r="D511" s="29"/>
    </row>
    <row r="512" spans="2:4" ht="14.25" customHeight="1" x14ac:dyDescent="0.15">
      <c r="B512" s="28"/>
      <c r="D512" s="29"/>
    </row>
    <row r="513" spans="2:4" ht="14.25" customHeight="1" x14ac:dyDescent="0.15">
      <c r="B513" s="28"/>
      <c r="D513" s="29"/>
    </row>
    <row r="514" spans="2:4" ht="14.25" customHeight="1" x14ac:dyDescent="0.15">
      <c r="B514" s="28"/>
      <c r="D514" s="29"/>
    </row>
    <row r="515" spans="2:4" ht="14.25" customHeight="1" x14ac:dyDescent="0.15">
      <c r="B515" s="28"/>
      <c r="D515" s="29"/>
    </row>
    <row r="516" spans="2:4" ht="14.25" customHeight="1" x14ac:dyDescent="0.15">
      <c r="B516" s="28"/>
      <c r="D516" s="29"/>
    </row>
    <row r="517" spans="2:4" ht="14.25" customHeight="1" x14ac:dyDescent="0.15">
      <c r="B517" s="28"/>
      <c r="D517" s="29"/>
    </row>
    <row r="518" spans="2:4" ht="14.25" customHeight="1" x14ac:dyDescent="0.15">
      <c r="B518" s="28"/>
      <c r="D518" s="29"/>
    </row>
    <row r="519" spans="2:4" ht="14.25" customHeight="1" x14ac:dyDescent="0.15">
      <c r="B519" s="28"/>
      <c r="D519" s="29"/>
    </row>
    <row r="520" spans="2:4" ht="14.25" customHeight="1" x14ac:dyDescent="0.15">
      <c r="B520" s="28"/>
      <c r="D520" s="29"/>
    </row>
    <row r="521" spans="2:4" ht="14.25" customHeight="1" x14ac:dyDescent="0.15">
      <c r="B521" s="28"/>
      <c r="D521" s="29"/>
    </row>
    <row r="522" spans="2:4" ht="14.25" customHeight="1" x14ac:dyDescent="0.15">
      <c r="B522" s="28"/>
      <c r="D522" s="29"/>
    </row>
    <row r="523" spans="2:4" ht="14.25" customHeight="1" x14ac:dyDescent="0.15">
      <c r="B523" s="28"/>
      <c r="D523" s="29"/>
    </row>
    <row r="524" spans="2:4" ht="14.25" customHeight="1" x14ac:dyDescent="0.15">
      <c r="B524" s="28"/>
      <c r="D524" s="29"/>
    </row>
    <row r="525" spans="2:4" ht="14.25" customHeight="1" x14ac:dyDescent="0.15">
      <c r="B525" s="28"/>
      <c r="D525" s="29"/>
    </row>
    <row r="526" spans="2:4" ht="14.25" customHeight="1" x14ac:dyDescent="0.15">
      <c r="B526" s="28"/>
      <c r="D526" s="29"/>
    </row>
    <row r="527" spans="2:4" ht="14.25" customHeight="1" x14ac:dyDescent="0.15">
      <c r="B527" s="28"/>
      <c r="D527" s="29"/>
    </row>
    <row r="528" spans="2:4" ht="14.25" customHeight="1" x14ac:dyDescent="0.15">
      <c r="B528" s="28"/>
      <c r="D528" s="29"/>
    </row>
    <row r="529" spans="2:4" ht="14.25" customHeight="1" x14ac:dyDescent="0.15">
      <c r="B529" s="28"/>
      <c r="D529" s="29"/>
    </row>
    <row r="530" spans="2:4" ht="14.25" customHeight="1" x14ac:dyDescent="0.15">
      <c r="B530" s="28"/>
      <c r="D530" s="29"/>
    </row>
    <row r="531" spans="2:4" ht="14.25" customHeight="1" x14ac:dyDescent="0.15">
      <c r="B531" s="28"/>
      <c r="D531" s="29"/>
    </row>
    <row r="532" spans="2:4" ht="14.25" customHeight="1" x14ac:dyDescent="0.15">
      <c r="B532" s="28"/>
      <c r="D532" s="29"/>
    </row>
    <row r="533" spans="2:4" ht="14.25" customHeight="1" x14ac:dyDescent="0.15">
      <c r="B533" s="28"/>
      <c r="D533" s="29"/>
    </row>
    <row r="534" spans="2:4" ht="14.25" customHeight="1" x14ac:dyDescent="0.15">
      <c r="B534" s="28"/>
      <c r="D534" s="29"/>
    </row>
    <row r="535" spans="2:4" ht="14.25" customHeight="1" x14ac:dyDescent="0.15">
      <c r="B535" s="28"/>
      <c r="D535" s="29"/>
    </row>
    <row r="536" spans="2:4" ht="14.25" customHeight="1" x14ac:dyDescent="0.15">
      <c r="B536" s="28"/>
      <c r="D536" s="29"/>
    </row>
    <row r="537" spans="2:4" ht="14.25" customHeight="1" x14ac:dyDescent="0.15">
      <c r="B537" s="28"/>
      <c r="D537" s="29"/>
    </row>
    <row r="538" spans="2:4" ht="14.25" customHeight="1" x14ac:dyDescent="0.15">
      <c r="B538" s="28"/>
      <c r="D538" s="29"/>
    </row>
    <row r="539" spans="2:4" ht="14.25" customHeight="1" x14ac:dyDescent="0.15">
      <c r="B539" s="28"/>
      <c r="D539" s="29"/>
    </row>
    <row r="540" spans="2:4" ht="14.25" customHeight="1" x14ac:dyDescent="0.15">
      <c r="B540" s="28"/>
      <c r="D540" s="29"/>
    </row>
    <row r="541" spans="2:4" ht="14.25" customHeight="1" x14ac:dyDescent="0.15">
      <c r="B541" s="28"/>
      <c r="D541" s="29"/>
    </row>
    <row r="542" spans="2:4" ht="14.25" customHeight="1" x14ac:dyDescent="0.15">
      <c r="B542" s="28"/>
      <c r="D542" s="29"/>
    </row>
    <row r="543" spans="2:4" ht="14.25" customHeight="1" x14ac:dyDescent="0.15">
      <c r="B543" s="28"/>
      <c r="D543" s="29"/>
    </row>
    <row r="544" spans="2:4" ht="14.25" customHeight="1" x14ac:dyDescent="0.15">
      <c r="B544" s="28"/>
      <c r="D544" s="29"/>
    </row>
    <row r="545" spans="2:4" ht="14.25" customHeight="1" x14ac:dyDescent="0.15">
      <c r="B545" s="28"/>
      <c r="D545" s="29"/>
    </row>
    <row r="546" spans="2:4" ht="14.25" customHeight="1" x14ac:dyDescent="0.15">
      <c r="B546" s="28"/>
      <c r="D546" s="29"/>
    </row>
    <row r="547" spans="2:4" ht="14.25" customHeight="1" x14ac:dyDescent="0.15">
      <c r="B547" s="28"/>
      <c r="D547" s="29"/>
    </row>
    <row r="548" spans="2:4" ht="14.25" customHeight="1" x14ac:dyDescent="0.15">
      <c r="B548" s="28"/>
      <c r="D548" s="29"/>
    </row>
    <row r="549" spans="2:4" ht="14.25" customHeight="1" x14ac:dyDescent="0.15">
      <c r="B549" s="28"/>
      <c r="D549" s="29"/>
    </row>
    <row r="550" spans="2:4" ht="14.25" customHeight="1" x14ac:dyDescent="0.15">
      <c r="B550" s="28"/>
      <c r="D550" s="29"/>
    </row>
    <row r="551" spans="2:4" ht="14.25" customHeight="1" x14ac:dyDescent="0.15">
      <c r="B551" s="28"/>
      <c r="D551" s="29"/>
    </row>
    <row r="552" spans="2:4" ht="14.25" customHeight="1" x14ac:dyDescent="0.15">
      <c r="B552" s="28"/>
      <c r="D552" s="29"/>
    </row>
    <row r="553" spans="2:4" ht="14.25" customHeight="1" x14ac:dyDescent="0.15">
      <c r="B553" s="28"/>
      <c r="D553" s="29"/>
    </row>
    <row r="554" spans="2:4" ht="14.25" customHeight="1" x14ac:dyDescent="0.15">
      <c r="B554" s="28"/>
      <c r="D554" s="29"/>
    </row>
    <row r="555" spans="2:4" ht="14.25" customHeight="1" x14ac:dyDescent="0.15">
      <c r="B555" s="28"/>
      <c r="D555" s="29"/>
    </row>
    <row r="556" spans="2:4" ht="14.25" customHeight="1" x14ac:dyDescent="0.15">
      <c r="B556" s="28"/>
      <c r="D556" s="29"/>
    </row>
    <row r="557" spans="2:4" ht="14.25" customHeight="1" x14ac:dyDescent="0.15">
      <c r="B557" s="28"/>
      <c r="D557" s="29"/>
    </row>
    <row r="558" spans="2:4" ht="14.25" customHeight="1" x14ac:dyDescent="0.15">
      <c r="B558" s="28"/>
      <c r="D558" s="29"/>
    </row>
    <row r="559" spans="2:4" ht="14.25" customHeight="1" x14ac:dyDescent="0.15">
      <c r="B559" s="28"/>
      <c r="D559" s="29"/>
    </row>
    <row r="560" spans="2:4" ht="14.25" customHeight="1" x14ac:dyDescent="0.15">
      <c r="B560" s="28"/>
      <c r="D560" s="29"/>
    </row>
    <row r="561" spans="2:4" ht="14.25" customHeight="1" x14ac:dyDescent="0.15">
      <c r="B561" s="28"/>
      <c r="D561" s="29"/>
    </row>
    <row r="562" spans="2:4" ht="14.25" customHeight="1" x14ac:dyDescent="0.15">
      <c r="B562" s="28"/>
      <c r="D562" s="29"/>
    </row>
    <row r="563" spans="2:4" ht="14.25" customHeight="1" x14ac:dyDescent="0.15">
      <c r="B563" s="28"/>
      <c r="D563" s="29"/>
    </row>
    <row r="564" spans="2:4" ht="14.25" customHeight="1" x14ac:dyDescent="0.15">
      <c r="B564" s="28"/>
      <c r="D564" s="29"/>
    </row>
    <row r="565" spans="2:4" ht="14.25" customHeight="1" x14ac:dyDescent="0.15">
      <c r="B565" s="28"/>
      <c r="D565" s="29"/>
    </row>
    <row r="566" spans="2:4" ht="14.25" customHeight="1" x14ac:dyDescent="0.15">
      <c r="B566" s="28"/>
      <c r="D566" s="29"/>
    </row>
    <row r="567" spans="2:4" ht="14.25" customHeight="1" x14ac:dyDescent="0.15">
      <c r="B567" s="28"/>
      <c r="D567" s="29"/>
    </row>
    <row r="568" spans="2:4" ht="14.25" customHeight="1" x14ac:dyDescent="0.15">
      <c r="B568" s="28"/>
      <c r="D568" s="29"/>
    </row>
    <row r="569" spans="2:4" ht="14.25" customHeight="1" x14ac:dyDescent="0.15">
      <c r="B569" s="28"/>
      <c r="D569" s="29"/>
    </row>
    <row r="570" spans="2:4" ht="14.25" customHeight="1" x14ac:dyDescent="0.15">
      <c r="B570" s="28"/>
      <c r="D570" s="29"/>
    </row>
    <row r="571" spans="2:4" ht="14.25" customHeight="1" x14ac:dyDescent="0.15">
      <c r="B571" s="28"/>
      <c r="D571" s="29"/>
    </row>
    <row r="572" spans="2:4" ht="14.25" customHeight="1" x14ac:dyDescent="0.15">
      <c r="B572" s="28"/>
      <c r="D572" s="29"/>
    </row>
    <row r="573" spans="2:4" ht="14.25" customHeight="1" x14ac:dyDescent="0.15">
      <c r="B573" s="28"/>
      <c r="D573" s="29"/>
    </row>
    <row r="574" spans="2:4" ht="14.25" customHeight="1" x14ac:dyDescent="0.15">
      <c r="B574" s="28"/>
      <c r="D574" s="29"/>
    </row>
    <row r="575" spans="2:4" ht="14.25" customHeight="1" x14ac:dyDescent="0.15">
      <c r="B575" s="28"/>
      <c r="D575" s="29"/>
    </row>
    <row r="576" spans="2:4" ht="14.25" customHeight="1" x14ac:dyDescent="0.15">
      <c r="B576" s="28"/>
      <c r="D576" s="29"/>
    </row>
    <row r="577" spans="2:4" ht="14.25" customHeight="1" x14ac:dyDescent="0.15">
      <c r="B577" s="28"/>
      <c r="D577" s="29"/>
    </row>
    <row r="578" spans="2:4" ht="14.25" customHeight="1" x14ac:dyDescent="0.15">
      <c r="B578" s="28"/>
      <c r="D578" s="29"/>
    </row>
    <row r="579" spans="2:4" ht="14.25" customHeight="1" x14ac:dyDescent="0.15">
      <c r="B579" s="28"/>
      <c r="D579" s="29"/>
    </row>
    <row r="580" spans="2:4" ht="14.25" customHeight="1" x14ac:dyDescent="0.15">
      <c r="B580" s="28"/>
      <c r="D580" s="29"/>
    </row>
    <row r="581" spans="2:4" ht="14.25" customHeight="1" x14ac:dyDescent="0.15">
      <c r="B581" s="28"/>
      <c r="D581" s="29"/>
    </row>
    <row r="582" spans="2:4" ht="14.25" customHeight="1" x14ac:dyDescent="0.15">
      <c r="B582" s="28"/>
      <c r="D582" s="29"/>
    </row>
    <row r="583" spans="2:4" ht="14.25" customHeight="1" x14ac:dyDescent="0.15">
      <c r="B583" s="28"/>
      <c r="D583" s="29"/>
    </row>
    <row r="584" spans="2:4" ht="14.25" customHeight="1" x14ac:dyDescent="0.15">
      <c r="B584" s="28"/>
      <c r="D584" s="29"/>
    </row>
    <row r="585" spans="2:4" ht="14.25" customHeight="1" x14ac:dyDescent="0.15">
      <c r="B585" s="28"/>
      <c r="D585" s="29"/>
    </row>
    <row r="586" spans="2:4" ht="14.25" customHeight="1" x14ac:dyDescent="0.15">
      <c r="B586" s="28"/>
      <c r="D586" s="29"/>
    </row>
    <row r="587" spans="2:4" ht="14.25" customHeight="1" x14ac:dyDescent="0.15">
      <c r="B587" s="28"/>
      <c r="D587" s="29"/>
    </row>
    <row r="588" spans="2:4" ht="14.25" customHeight="1" x14ac:dyDescent="0.15">
      <c r="B588" s="28"/>
      <c r="D588" s="29"/>
    </row>
    <row r="589" spans="2:4" ht="14.25" customHeight="1" x14ac:dyDescent="0.15">
      <c r="B589" s="28"/>
      <c r="D589" s="29"/>
    </row>
    <row r="590" spans="2:4" ht="14.25" customHeight="1" x14ac:dyDescent="0.15">
      <c r="B590" s="28"/>
      <c r="D590" s="29"/>
    </row>
    <row r="591" spans="2:4" ht="14.25" customHeight="1" x14ac:dyDescent="0.15">
      <c r="B591" s="28"/>
      <c r="D591" s="29"/>
    </row>
    <row r="592" spans="2:4" ht="14.25" customHeight="1" x14ac:dyDescent="0.15">
      <c r="B592" s="28"/>
      <c r="D592" s="29"/>
    </row>
    <row r="593" spans="2:4" ht="14.25" customHeight="1" x14ac:dyDescent="0.15">
      <c r="B593" s="28"/>
      <c r="D593" s="29"/>
    </row>
    <row r="594" spans="2:4" ht="14.25" customHeight="1" x14ac:dyDescent="0.15">
      <c r="B594" s="28"/>
      <c r="D594" s="29"/>
    </row>
    <row r="595" spans="2:4" ht="14.25" customHeight="1" x14ac:dyDescent="0.15">
      <c r="B595" s="28"/>
      <c r="D595" s="29"/>
    </row>
    <row r="596" spans="2:4" ht="14.25" customHeight="1" x14ac:dyDescent="0.15">
      <c r="B596" s="28"/>
      <c r="D596" s="29"/>
    </row>
    <row r="597" spans="2:4" ht="14.25" customHeight="1" x14ac:dyDescent="0.15">
      <c r="B597" s="28"/>
      <c r="D597" s="29"/>
    </row>
    <row r="598" spans="2:4" ht="14.25" customHeight="1" x14ac:dyDescent="0.15">
      <c r="B598" s="28"/>
      <c r="D598" s="29"/>
    </row>
    <row r="599" spans="2:4" ht="14.25" customHeight="1" x14ac:dyDescent="0.15">
      <c r="B599" s="28"/>
      <c r="D599" s="29"/>
    </row>
    <row r="600" spans="2:4" ht="14.25" customHeight="1" x14ac:dyDescent="0.15">
      <c r="B600" s="28"/>
      <c r="D600" s="29"/>
    </row>
    <row r="601" spans="2:4" ht="14.25" customHeight="1" x14ac:dyDescent="0.15">
      <c r="B601" s="28"/>
      <c r="D601" s="29"/>
    </row>
    <row r="602" spans="2:4" ht="14.25" customHeight="1" x14ac:dyDescent="0.15">
      <c r="B602" s="28"/>
      <c r="D602" s="29"/>
    </row>
    <row r="603" spans="2:4" ht="14.25" customHeight="1" x14ac:dyDescent="0.15">
      <c r="B603" s="28"/>
      <c r="D603" s="29"/>
    </row>
    <row r="604" spans="2:4" ht="14.25" customHeight="1" x14ac:dyDescent="0.15">
      <c r="B604" s="28"/>
      <c r="D604" s="29"/>
    </row>
    <row r="605" spans="2:4" ht="14.25" customHeight="1" x14ac:dyDescent="0.15">
      <c r="B605" s="28"/>
      <c r="D605" s="29"/>
    </row>
    <row r="606" spans="2:4" ht="14.25" customHeight="1" x14ac:dyDescent="0.15">
      <c r="B606" s="28"/>
      <c r="D606" s="29"/>
    </row>
    <row r="607" spans="2:4" ht="14.25" customHeight="1" x14ac:dyDescent="0.15">
      <c r="B607" s="28"/>
      <c r="D607" s="29"/>
    </row>
    <row r="608" spans="2:4" ht="14.25" customHeight="1" x14ac:dyDescent="0.15">
      <c r="B608" s="28"/>
      <c r="D608" s="29"/>
    </row>
    <row r="609" spans="2:4" ht="14.25" customHeight="1" x14ac:dyDescent="0.15">
      <c r="B609" s="28"/>
      <c r="D609" s="29"/>
    </row>
    <row r="610" spans="2:4" ht="14.25" customHeight="1" x14ac:dyDescent="0.15">
      <c r="B610" s="28"/>
      <c r="D610" s="29"/>
    </row>
    <row r="611" spans="2:4" ht="14.25" customHeight="1" x14ac:dyDescent="0.15">
      <c r="B611" s="28"/>
      <c r="D611" s="29"/>
    </row>
    <row r="612" spans="2:4" ht="14.25" customHeight="1" x14ac:dyDescent="0.15">
      <c r="B612" s="28"/>
      <c r="D612" s="29"/>
    </row>
    <row r="613" spans="2:4" ht="14.25" customHeight="1" x14ac:dyDescent="0.15">
      <c r="B613" s="28"/>
      <c r="D613" s="29"/>
    </row>
    <row r="614" spans="2:4" ht="14.25" customHeight="1" x14ac:dyDescent="0.15">
      <c r="B614" s="28"/>
      <c r="D614" s="29"/>
    </row>
    <row r="615" spans="2:4" ht="14.25" customHeight="1" x14ac:dyDescent="0.15">
      <c r="B615" s="28"/>
      <c r="D615" s="29"/>
    </row>
    <row r="616" spans="2:4" ht="14.25" customHeight="1" x14ac:dyDescent="0.15">
      <c r="B616" s="28"/>
      <c r="D616" s="29"/>
    </row>
    <row r="617" spans="2:4" ht="14.25" customHeight="1" x14ac:dyDescent="0.15">
      <c r="B617" s="28"/>
      <c r="D617" s="29"/>
    </row>
    <row r="618" spans="2:4" ht="14.25" customHeight="1" x14ac:dyDescent="0.15">
      <c r="B618" s="28"/>
      <c r="D618" s="29"/>
    </row>
    <row r="619" spans="2:4" ht="14.25" customHeight="1" x14ac:dyDescent="0.15">
      <c r="B619" s="28"/>
      <c r="D619" s="29"/>
    </row>
    <row r="620" spans="2:4" ht="14.25" customHeight="1" x14ac:dyDescent="0.15">
      <c r="B620" s="28"/>
      <c r="D620" s="29"/>
    </row>
    <row r="621" spans="2:4" ht="14.25" customHeight="1" x14ac:dyDescent="0.15">
      <c r="B621" s="28"/>
      <c r="D621" s="29"/>
    </row>
    <row r="622" spans="2:4" ht="14.25" customHeight="1" x14ac:dyDescent="0.15">
      <c r="B622" s="28"/>
      <c r="D622" s="29"/>
    </row>
    <row r="623" spans="2:4" ht="14.25" customHeight="1" x14ac:dyDescent="0.15">
      <c r="B623" s="28"/>
      <c r="D623" s="29"/>
    </row>
    <row r="624" spans="2:4" ht="14.25" customHeight="1" x14ac:dyDescent="0.15">
      <c r="B624" s="28"/>
      <c r="D624" s="29"/>
    </row>
    <row r="625" spans="2:4" ht="14.25" customHeight="1" x14ac:dyDescent="0.15">
      <c r="B625" s="28"/>
      <c r="D625" s="29"/>
    </row>
    <row r="626" spans="2:4" ht="15.75" customHeight="1" x14ac:dyDescent="0.15"/>
    <row r="627" spans="2:4" ht="15.75" customHeight="1" x14ac:dyDescent="0.15"/>
    <row r="628" spans="2:4" ht="15.75" customHeight="1" x14ac:dyDescent="0.15"/>
    <row r="629" spans="2:4" ht="15.75" customHeight="1" x14ac:dyDescent="0.15"/>
    <row r="630" spans="2:4" ht="15.75" customHeight="1" x14ac:dyDescent="0.15"/>
    <row r="631" spans="2:4" ht="15.75" customHeight="1" x14ac:dyDescent="0.15"/>
    <row r="632" spans="2:4" ht="15.75" customHeight="1" x14ac:dyDescent="0.15"/>
    <row r="633" spans="2:4" ht="15.75" customHeight="1" x14ac:dyDescent="0.15"/>
    <row r="634" spans="2:4" ht="15.75" customHeight="1" x14ac:dyDescent="0.15"/>
    <row r="635" spans="2:4" ht="15.75" customHeight="1" x14ac:dyDescent="0.15"/>
    <row r="636" spans="2:4" ht="15.75" customHeight="1" x14ac:dyDescent="0.15"/>
    <row r="637" spans="2:4" ht="15.75" customHeight="1" x14ac:dyDescent="0.15"/>
    <row r="638" spans="2:4" ht="15.75" customHeight="1" x14ac:dyDescent="0.15"/>
    <row r="639" spans="2:4" ht="15.75" customHeight="1" x14ac:dyDescent="0.15"/>
    <row r="640" spans="2:4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6DEEB"/>
  </sheetPr>
  <dimension ref="A1:D1000"/>
  <sheetViews>
    <sheetView workbookViewId="0"/>
  </sheetViews>
  <sheetFormatPr defaultColWidth="12.625" defaultRowHeight="15" customHeight="1" x14ac:dyDescent="0.15"/>
  <cols>
    <col min="1" max="6" width="12.625" customWidth="1"/>
  </cols>
  <sheetData>
    <row r="1" spans="1:4" ht="14.25" customHeight="1" x14ac:dyDescent="0.15">
      <c r="A1" s="30" t="s">
        <v>7</v>
      </c>
      <c r="B1" s="30" t="s">
        <v>8</v>
      </c>
      <c r="C1" s="30" t="s">
        <v>9</v>
      </c>
      <c r="D1" s="30" t="s">
        <v>37</v>
      </c>
    </row>
    <row r="2" spans="1:4" ht="14.25" customHeight="1" x14ac:dyDescent="0.15">
      <c r="A2" s="30" t="s">
        <v>32</v>
      </c>
      <c r="B2" s="30">
        <v>45072</v>
      </c>
      <c r="C2" s="30" t="s">
        <v>57</v>
      </c>
      <c r="D2" s="30">
        <v>7299.03</v>
      </c>
    </row>
    <row r="3" spans="1:4" ht="14.25" customHeight="1" x14ac:dyDescent="0.15">
      <c r="A3" s="30" t="s">
        <v>32</v>
      </c>
      <c r="B3" s="30">
        <v>45061</v>
      </c>
      <c r="C3" s="30" t="s">
        <v>57</v>
      </c>
      <c r="D3" s="30">
        <v>7171.38</v>
      </c>
    </row>
    <row r="4" spans="1:4" ht="14.25" customHeight="1" x14ac:dyDescent="0.15">
      <c r="A4" s="30" t="s">
        <v>61</v>
      </c>
      <c r="B4" s="30">
        <v>45029</v>
      </c>
      <c r="C4" s="30" t="s">
        <v>60</v>
      </c>
      <c r="D4" s="30">
        <v>15</v>
      </c>
    </row>
    <row r="5" spans="1:4" ht="14.25" customHeight="1" x14ac:dyDescent="0.15">
      <c r="A5" s="30" t="s">
        <v>61</v>
      </c>
      <c r="B5" s="30">
        <v>45030</v>
      </c>
      <c r="C5" s="30" t="s">
        <v>60</v>
      </c>
      <c r="D5" s="30">
        <v>15</v>
      </c>
    </row>
    <row r="6" spans="1:4" ht="14.25" customHeight="1" x14ac:dyDescent="0.15">
      <c r="A6" s="30" t="s">
        <v>32</v>
      </c>
      <c r="B6" s="30">
        <v>45030</v>
      </c>
      <c r="C6" s="30" t="s">
        <v>60</v>
      </c>
      <c r="D6" s="30">
        <v>15</v>
      </c>
    </row>
    <row r="7" spans="1:4" ht="14.25" customHeight="1" x14ac:dyDescent="0.15">
      <c r="A7" s="30" t="s">
        <v>32</v>
      </c>
      <c r="B7" s="30">
        <v>45071</v>
      </c>
      <c r="C7" s="30" t="s">
        <v>38</v>
      </c>
      <c r="D7" s="30">
        <v>44143</v>
      </c>
    </row>
    <row r="8" spans="1:4" ht="14.25" customHeight="1" x14ac:dyDescent="0.15">
      <c r="A8" s="30" t="s">
        <v>32</v>
      </c>
      <c r="B8" s="30">
        <v>44998</v>
      </c>
      <c r="C8" s="30" t="s">
        <v>38</v>
      </c>
      <c r="D8" s="30">
        <v>44000</v>
      </c>
    </row>
    <row r="9" spans="1:4" ht="14.25" customHeight="1" x14ac:dyDescent="0.15">
      <c r="A9" s="30" t="s">
        <v>32</v>
      </c>
      <c r="B9" s="30">
        <v>45054</v>
      </c>
      <c r="C9" s="30" t="s">
        <v>39</v>
      </c>
      <c r="D9" s="30">
        <v>28162</v>
      </c>
    </row>
    <row r="10" spans="1:4" ht="14.25" customHeight="1" x14ac:dyDescent="0.15">
      <c r="A10" s="30" t="s">
        <v>32</v>
      </c>
      <c r="B10" s="30">
        <v>45022</v>
      </c>
      <c r="C10" s="30" t="s">
        <v>40</v>
      </c>
      <c r="D10" s="30">
        <v>13200.02</v>
      </c>
    </row>
    <row r="11" spans="1:4" ht="14.25" customHeight="1" x14ac:dyDescent="0.15">
      <c r="A11" s="30" t="s">
        <v>32</v>
      </c>
      <c r="B11" s="30">
        <v>45066</v>
      </c>
      <c r="C11" s="30" t="s">
        <v>56</v>
      </c>
      <c r="D11" s="30">
        <v>10500</v>
      </c>
    </row>
    <row r="12" spans="1:4" ht="14.25" customHeight="1" x14ac:dyDescent="0.15">
      <c r="A12" s="30" t="s">
        <v>32</v>
      </c>
      <c r="B12" s="30">
        <v>45069</v>
      </c>
      <c r="C12" s="30" t="s">
        <v>56</v>
      </c>
      <c r="D12" s="30">
        <v>10500</v>
      </c>
    </row>
    <row r="13" spans="1:4" ht="14.25" customHeight="1" x14ac:dyDescent="0.15">
      <c r="A13" s="30" t="s">
        <v>32</v>
      </c>
      <c r="B13" s="30">
        <v>45069</v>
      </c>
      <c r="C13" s="30" t="s">
        <v>56</v>
      </c>
      <c r="D13" s="30">
        <v>10500</v>
      </c>
    </row>
    <row r="14" spans="1:4" ht="14.25" customHeight="1" x14ac:dyDescent="0.15">
      <c r="A14" s="30" t="s">
        <v>32</v>
      </c>
      <c r="B14" s="30">
        <v>45069</v>
      </c>
      <c r="C14" s="30" t="s">
        <v>56</v>
      </c>
      <c r="D14" s="30">
        <v>10500</v>
      </c>
    </row>
    <row r="15" spans="1:4" ht="14.25" customHeight="1" x14ac:dyDescent="0.15">
      <c r="A15" s="30" t="s">
        <v>32</v>
      </c>
      <c r="B15" s="30">
        <v>45067</v>
      </c>
      <c r="C15" s="30" t="s">
        <v>56</v>
      </c>
      <c r="D15" s="30">
        <v>10500</v>
      </c>
    </row>
    <row r="16" spans="1:4" ht="14.25" customHeight="1" x14ac:dyDescent="0.15">
      <c r="A16" s="30" t="s">
        <v>32</v>
      </c>
      <c r="B16" s="30">
        <v>45067</v>
      </c>
      <c r="C16" s="30" t="s">
        <v>56</v>
      </c>
      <c r="D16" s="30">
        <v>10500</v>
      </c>
    </row>
    <row r="17" spans="1:4" ht="14.25" customHeight="1" x14ac:dyDescent="0.15">
      <c r="A17" s="30" t="s">
        <v>32</v>
      </c>
      <c r="B17" s="30">
        <v>45066</v>
      </c>
      <c r="C17" s="30" t="s">
        <v>56</v>
      </c>
      <c r="D17" s="30">
        <v>10500</v>
      </c>
    </row>
    <row r="18" spans="1:4" ht="14.25" customHeight="1" x14ac:dyDescent="0.15">
      <c r="A18" s="30" t="s">
        <v>32</v>
      </c>
      <c r="B18" s="30">
        <v>45063</v>
      </c>
      <c r="C18" s="30" t="s">
        <v>56</v>
      </c>
      <c r="D18" s="30">
        <v>10500</v>
      </c>
    </row>
    <row r="19" spans="1:4" ht="14.25" customHeight="1" x14ac:dyDescent="0.15">
      <c r="A19" s="30" t="s">
        <v>32</v>
      </c>
      <c r="B19" s="30">
        <v>45062</v>
      </c>
      <c r="C19" s="30" t="s">
        <v>56</v>
      </c>
      <c r="D19" s="30">
        <v>10500</v>
      </c>
    </row>
    <row r="20" spans="1:4" ht="14.25" customHeight="1" x14ac:dyDescent="0.15">
      <c r="A20" s="30" t="s">
        <v>32</v>
      </c>
      <c r="B20" s="30">
        <v>45014</v>
      </c>
      <c r="C20" s="30" t="s">
        <v>56</v>
      </c>
      <c r="D20" s="30">
        <v>6500</v>
      </c>
    </row>
    <row r="21" spans="1:4" ht="14.25" customHeight="1" x14ac:dyDescent="0.15">
      <c r="A21" s="30" t="s">
        <v>61</v>
      </c>
      <c r="B21" s="30">
        <v>45014</v>
      </c>
      <c r="C21" s="30" t="s">
        <v>56</v>
      </c>
      <c r="D21" s="30">
        <v>6500</v>
      </c>
    </row>
    <row r="22" spans="1:4" ht="14.25" customHeight="1" x14ac:dyDescent="0.15">
      <c r="A22" s="30" t="s">
        <v>61</v>
      </c>
      <c r="B22" s="30">
        <v>45014</v>
      </c>
      <c r="C22" s="30" t="s">
        <v>56</v>
      </c>
      <c r="D22" s="30">
        <v>6500</v>
      </c>
    </row>
    <row r="23" spans="1:4" ht="14.25" customHeight="1" x14ac:dyDescent="0.15">
      <c r="A23" s="30" t="s">
        <v>61</v>
      </c>
      <c r="B23" s="30">
        <v>45014</v>
      </c>
      <c r="C23" s="30" t="s">
        <v>56</v>
      </c>
      <c r="D23" s="30">
        <v>6500</v>
      </c>
    </row>
    <row r="24" spans="1:4" ht="14.25" customHeight="1" x14ac:dyDescent="0.15">
      <c r="A24" s="30" t="s">
        <v>61</v>
      </c>
      <c r="B24" s="30">
        <v>45014</v>
      </c>
      <c r="C24" s="30" t="s">
        <v>56</v>
      </c>
      <c r="D24" s="30">
        <v>6500</v>
      </c>
    </row>
    <row r="25" spans="1:4" ht="14.25" customHeight="1" x14ac:dyDescent="0.15">
      <c r="A25" s="30" t="s">
        <v>61</v>
      </c>
      <c r="B25" s="30">
        <v>44998</v>
      </c>
      <c r="C25" s="30" t="s">
        <v>56</v>
      </c>
      <c r="D25" s="30">
        <v>5500</v>
      </c>
    </row>
    <row r="26" spans="1:4" ht="14.25" customHeight="1" x14ac:dyDescent="0.15"/>
    <row r="27" spans="1:4" ht="14.25" customHeight="1" x14ac:dyDescent="0.15"/>
    <row r="28" spans="1:4" ht="14.25" customHeight="1" x14ac:dyDescent="0.15"/>
    <row r="29" spans="1:4" ht="14.25" customHeight="1" x14ac:dyDescent="0.15"/>
    <row r="30" spans="1:4" ht="14.25" customHeight="1" x14ac:dyDescent="0.15"/>
    <row r="31" spans="1:4" ht="14.25" customHeight="1" x14ac:dyDescent="0.15"/>
    <row r="32" spans="1:4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</sheetPr>
  <dimension ref="A1:P1000"/>
  <sheetViews>
    <sheetView workbookViewId="0"/>
  </sheetViews>
  <sheetFormatPr defaultColWidth="12.625" defaultRowHeight="15" customHeight="1" x14ac:dyDescent="0.15"/>
  <cols>
    <col min="1" max="1" width="28.44140625" customWidth="1"/>
    <col min="2" max="2" width="18.38671875" customWidth="1"/>
    <col min="3" max="3" width="11.27734375" customWidth="1"/>
    <col min="4" max="4" width="15.56640625" customWidth="1"/>
    <col min="5" max="5" width="7.59765625" customWidth="1"/>
    <col min="6" max="6" width="21.57421875" customWidth="1"/>
    <col min="7" max="7" width="24.88671875" customWidth="1"/>
    <col min="8" max="8" width="26.234375" customWidth="1"/>
    <col min="9" max="9" width="29.7890625" customWidth="1"/>
    <col min="10" max="10" width="21.328125" customWidth="1"/>
    <col min="11" max="11" width="31.75" customWidth="1"/>
    <col min="12" max="12" width="38.00390625" customWidth="1"/>
    <col min="13" max="13" width="26.109375" customWidth="1"/>
    <col min="14" max="14" width="16.91796875" customWidth="1"/>
    <col min="15" max="15" width="8.45703125" customWidth="1"/>
    <col min="16" max="16" width="12.625" customWidth="1"/>
  </cols>
  <sheetData>
    <row r="1" spans="1:16" ht="14.25" customHeight="1" x14ac:dyDescent="0.15">
      <c r="A1" s="28" t="s">
        <v>62</v>
      </c>
      <c r="B1" s="28"/>
      <c r="C1" s="28"/>
      <c r="D1" s="28"/>
    </row>
    <row r="2" spans="1:16" ht="14.25" customHeight="1" x14ac:dyDescent="0.15">
      <c r="A2" s="28"/>
      <c r="B2" s="28"/>
      <c r="C2" s="28"/>
      <c r="D2" s="28"/>
    </row>
    <row r="3" spans="1:16" ht="14.25" customHeight="1" x14ac:dyDescent="0.15">
      <c r="A3" s="28"/>
      <c r="B3" s="28"/>
      <c r="C3" s="28"/>
      <c r="D3" s="28"/>
      <c r="E3" s="24"/>
    </row>
    <row r="4" spans="1:16" ht="14.25" customHeight="1" x14ac:dyDescent="0.15">
      <c r="A4" s="28"/>
      <c r="B4" s="28"/>
      <c r="C4" s="28"/>
      <c r="D4" s="28"/>
    </row>
    <row r="5" spans="1:16" ht="14.25" customHeight="1" x14ac:dyDescent="0.15">
      <c r="A5" s="28"/>
      <c r="B5" s="28"/>
      <c r="C5" s="28"/>
      <c r="D5" s="28"/>
    </row>
    <row r="6" spans="1:16" ht="14.25" customHeight="1" x14ac:dyDescent="0.15">
      <c r="A6" s="28"/>
      <c r="B6" s="28"/>
      <c r="C6" s="28"/>
      <c r="D6" s="28"/>
    </row>
    <row r="7" spans="1:16" ht="14.25" customHeight="1" x14ac:dyDescent="0.15">
      <c r="A7" s="28"/>
      <c r="B7" s="28"/>
      <c r="C7" s="28"/>
      <c r="D7" s="28"/>
    </row>
    <row r="8" spans="1:16" ht="14.25" customHeight="1" x14ac:dyDescent="0.15">
      <c r="A8" s="28"/>
      <c r="B8" s="28"/>
      <c r="C8" s="28"/>
      <c r="D8" s="28"/>
      <c r="E8" s="24"/>
    </row>
    <row r="9" spans="1:16" ht="14.25" customHeight="1" x14ac:dyDescent="0.15">
      <c r="A9" s="28"/>
      <c r="B9" s="28"/>
      <c r="C9" s="28"/>
      <c r="D9" s="28"/>
      <c r="I9" s="24"/>
    </row>
    <row r="10" spans="1:16" ht="14.25" customHeight="1" x14ac:dyDescent="0.15">
      <c r="A10" s="28"/>
      <c r="B10" s="28"/>
      <c r="C10" s="28"/>
      <c r="D10" s="28"/>
      <c r="J10" s="24"/>
      <c r="P10" s="29"/>
    </row>
    <row r="11" spans="1:16" ht="14.25" customHeight="1" x14ac:dyDescent="0.15">
      <c r="A11" s="28"/>
      <c r="B11" s="28"/>
      <c r="C11" s="28"/>
      <c r="D11" s="28"/>
    </row>
    <row r="12" spans="1:16" ht="14.25" customHeight="1" x14ac:dyDescent="0.15">
      <c r="A12" s="28"/>
      <c r="B12" s="28"/>
      <c r="C12" s="28"/>
      <c r="D12" s="28"/>
      <c r="H12" s="24"/>
      <c r="L12" s="24"/>
      <c r="M12" s="24"/>
      <c r="N12" s="24"/>
    </row>
    <row r="13" spans="1:16" ht="14.25" customHeight="1" x14ac:dyDescent="0.15">
      <c r="A13" s="28"/>
      <c r="B13" s="28"/>
      <c r="C13" s="28"/>
      <c r="D13" s="28"/>
      <c r="E13" s="24"/>
      <c r="N13" s="24"/>
    </row>
    <row r="14" spans="1:16" ht="14.25" customHeight="1" x14ac:dyDescent="0.15">
      <c r="A14" s="28"/>
      <c r="B14" s="28"/>
      <c r="C14" s="28"/>
      <c r="D14" s="28"/>
    </row>
    <row r="15" spans="1:16" ht="14.25" customHeight="1" x14ac:dyDescent="0.15">
      <c r="A15" s="28"/>
      <c r="B15" s="28"/>
      <c r="C15" s="28"/>
      <c r="D15" s="28"/>
      <c r="L15" s="24"/>
      <c r="M15" s="24"/>
      <c r="N15" s="24"/>
    </row>
    <row r="16" spans="1:16" ht="14.25" customHeight="1" x14ac:dyDescent="0.15">
      <c r="A16" s="28"/>
      <c r="B16" s="28"/>
      <c r="C16" s="28"/>
      <c r="D16" s="28"/>
      <c r="L16" s="24"/>
      <c r="M16" s="24"/>
      <c r="N16" s="24"/>
    </row>
    <row r="17" spans="1:14" ht="14.25" customHeight="1" x14ac:dyDescent="0.15">
      <c r="A17" s="28"/>
      <c r="B17" s="28"/>
      <c r="C17" s="28"/>
      <c r="D17" s="28"/>
      <c r="L17" s="24"/>
      <c r="M17" s="24"/>
      <c r="N17" s="24"/>
    </row>
    <row r="18" spans="1:14" ht="14.25" customHeight="1" x14ac:dyDescent="0.15">
      <c r="A18" s="28"/>
      <c r="B18" s="28"/>
      <c r="C18" s="28"/>
      <c r="D18" s="28"/>
    </row>
    <row r="19" spans="1:14" ht="14.25" customHeight="1" x14ac:dyDescent="0.15">
      <c r="A19" s="28"/>
      <c r="B19" s="28"/>
      <c r="C19" s="28"/>
      <c r="D19" s="28"/>
    </row>
    <row r="20" spans="1:14" ht="14.25" customHeight="1" x14ac:dyDescent="0.15">
      <c r="A20" s="28"/>
      <c r="B20" s="28"/>
      <c r="C20" s="28"/>
      <c r="D20" s="28"/>
    </row>
    <row r="21" spans="1:14" ht="14.25" customHeight="1" x14ac:dyDescent="0.15">
      <c r="A21" s="28"/>
      <c r="B21" s="28"/>
      <c r="C21" s="28"/>
      <c r="D21" s="28"/>
    </row>
    <row r="22" spans="1:14" ht="14.25" customHeight="1" x14ac:dyDescent="0.15">
      <c r="A22" s="28"/>
      <c r="B22" s="28"/>
      <c r="C22" s="28"/>
      <c r="D22" s="28"/>
    </row>
    <row r="23" spans="1:14" ht="14.25" customHeight="1" x14ac:dyDescent="0.15">
      <c r="A23" s="28"/>
      <c r="B23" s="28"/>
      <c r="C23" s="28"/>
      <c r="D23" s="28"/>
    </row>
    <row r="24" spans="1:14" ht="14.25" customHeight="1" x14ac:dyDescent="0.15">
      <c r="A24" s="28"/>
      <c r="B24" s="28"/>
      <c r="C24" s="28"/>
      <c r="D24" s="28"/>
    </row>
    <row r="25" spans="1:14" ht="14.25" customHeight="1" x14ac:dyDescent="0.15">
      <c r="A25" s="28"/>
      <c r="B25" s="28"/>
      <c r="C25" s="28"/>
      <c r="D25" s="28"/>
    </row>
    <row r="26" spans="1:14" ht="14.25" customHeight="1" x14ac:dyDescent="0.15">
      <c r="A26" s="28"/>
      <c r="B26" s="28"/>
      <c r="C26" s="28"/>
      <c r="D26" s="28"/>
    </row>
    <row r="27" spans="1:14" ht="14.25" customHeight="1" x14ac:dyDescent="0.15">
      <c r="A27" s="28"/>
      <c r="B27" s="28"/>
      <c r="C27" s="28"/>
      <c r="D27" s="28"/>
    </row>
    <row r="28" spans="1:14" ht="14.25" customHeight="1" x14ac:dyDescent="0.15">
      <c r="A28" s="28"/>
      <c r="B28" s="28"/>
      <c r="C28" s="28"/>
      <c r="D28" s="28"/>
    </row>
    <row r="29" spans="1:14" ht="14.25" customHeight="1" x14ac:dyDescent="0.15">
      <c r="A29" s="28"/>
      <c r="B29" s="28"/>
      <c r="C29" s="28"/>
      <c r="D29" s="28"/>
    </row>
    <row r="30" spans="1:14" ht="14.25" customHeight="1" x14ac:dyDescent="0.15">
      <c r="A30" s="28"/>
      <c r="B30" s="28"/>
      <c r="C30" s="28"/>
      <c r="D30" s="28"/>
    </row>
    <row r="31" spans="1:14" ht="14.25" customHeight="1" x14ac:dyDescent="0.15">
      <c r="A31" s="28"/>
      <c r="B31" s="28"/>
      <c r="C31" s="28"/>
      <c r="D31" s="28"/>
    </row>
    <row r="32" spans="1:14" ht="14.25" customHeight="1" x14ac:dyDescent="0.15">
      <c r="A32" s="28"/>
      <c r="B32" s="28"/>
      <c r="C32" s="28"/>
      <c r="D32" s="28"/>
    </row>
    <row r="33" spans="1:4" ht="14.25" customHeight="1" x14ac:dyDescent="0.15">
      <c r="A33" s="28"/>
      <c r="B33" s="28"/>
      <c r="C33" s="28"/>
      <c r="D33" s="28"/>
    </row>
    <row r="34" spans="1:4" ht="14.25" customHeight="1" x14ac:dyDescent="0.15">
      <c r="A34" s="28"/>
      <c r="B34" s="28"/>
      <c r="C34" s="28"/>
      <c r="D34" s="28"/>
    </row>
    <row r="35" spans="1:4" ht="14.25" customHeight="1" x14ac:dyDescent="0.15">
      <c r="A35" s="28"/>
      <c r="B35" s="28"/>
      <c r="C35" s="28"/>
      <c r="D35" s="28"/>
    </row>
    <row r="36" spans="1:4" ht="14.25" customHeight="1" x14ac:dyDescent="0.15">
      <c r="A36" s="28"/>
      <c r="B36" s="28"/>
      <c r="C36" s="28"/>
      <c r="D36" s="28"/>
    </row>
    <row r="37" spans="1:4" ht="14.25" customHeight="1" x14ac:dyDescent="0.15">
      <c r="A37" s="28"/>
      <c r="B37" s="28"/>
      <c r="C37" s="28"/>
      <c r="D37" s="28"/>
    </row>
    <row r="38" spans="1:4" ht="14.25" customHeight="1" x14ac:dyDescent="0.15">
      <c r="A38" s="28"/>
      <c r="B38" s="28"/>
      <c r="C38" s="28"/>
      <c r="D38" s="28"/>
    </row>
    <row r="39" spans="1:4" ht="14.25" customHeight="1" x14ac:dyDescent="0.15">
      <c r="A39" s="28"/>
      <c r="B39" s="28"/>
      <c r="C39" s="28"/>
      <c r="D39" s="28"/>
    </row>
    <row r="40" spans="1:4" ht="14.25" customHeight="1" x14ac:dyDescent="0.15">
      <c r="A40" s="28"/>
      <c r="B40" s="28"/>
      <c r="C40" s="28"/>
      <c r="D40" s="28"/>
    </row>
    <row r="41" spans="1:4" ht="14.25" customHeight="1" x14ac:dyDescent="0.15">
      <c r="A41" s="28"/>
      <c r="B41" s="28"/>
      <c r="C41" s="28"/>
      <c r="D41" s="28"/>
    </row>
    <row r="42" spans="1:4" ht="14.25" customHeight="1" x14ac:dyDescent="0.15">
      <c r="A42" s="28"/>
      <c r="B42" s="28"/>
      <c r="C42" s="28"/>
      <c r="D42" s="28"/>
    </row>
    <row r="43" spans="1:4" ht="14.25" customHeight="1" x14ac:dyDescent="0.15">
      <c r="A43" s="28"/>
      <c r="B43" s="28"/>
      <c r="C43" s="28"/>
      <c r="D43" s="28"/>
    </row>
    <row r="44" spans="1:4" ht="14.25" customHeight="1" x14ac:dyDescent="0.15">
      <c r="A44" s="28"/>
      <c r="B44" s="28"/>
      <c r="C44" s="28"/>
      <c r="D44" s="28"/>
    </row>
    <row r="45" spans="1:4" ht="14.25" customHeight="1" x14ac:dyDescent="0.15">
      <c r="A45" s="28"/>
      <c r="B45" s="28"/>
      <c r="C45" s="28"/>
      <c r="D45" s="28"/>
    </row>
    <row r="46" spans="1:4" ht="14.25" customHeight="1" x14ac:dyDescent="0.15">
      <c r="A46" s="28"/>
      <c r="B46" s="28"/>
      <c r="C46" s="28"/>
      <c r="D46" s="28"/>
    </row>
    <row r="47" spans="1:4" ht="14.25" customHeight="1" x14ac:dyDescent="0.15">
      <c r="A47" s="28"/>
      <c r="B47" s="28"/>
      <c r="C47" s="28"/>
      <c r="D47" s="28"/>
    </row>
    <row r="48" spans="1:4" ht="14.25" customHeight="1" x14ac:dyDescent="0.15">
      <c r="A48" s="28"/>
      <c r="B48" s="28"/>
      <c r="C48" s="28"/>
      <c r="D48" s="28"/>
    </row>
    <row r="49" spans="1:4" ht="14.25" customHeight="1" x14ac:dyDescent="0.15">
      <c r="A49" s="28"/>
      <c r="B49" s="28"/>
      <c r="C49" s="28"/>
      <c r="D49" s="28"/>
    </row>
    <row r="50" spans="1:4" ht="14.25" customHeight="1" x14ac:dyDescent="0.15">
      <c r="A50" s="28"/>
      <c r="B50" s="28"/>
      <c r="C50" s="28"/>
      <c r="D50" s="28"/>
    </row>
    <row r="51" spans="1:4" ht="14.25" customHeight="1" x14ac:dyDescent="0.15">
      <c r="A51" s="28"/>
      <c r="B51" s="28"/>
      <c r="C51" s="28"/>
      <c r="D51" s="28"/>
    </row>
    <row r="52" spans="1:4" ht="14.25" customHeight="1" x14ac:dyDescent="0.15">
      <c r="A52" s="28"/>
      <c r="B52" s="28"/>
      <c r="C52" s="28"/>
      <c r="D52" s="28"/>
    </row>
    <row r="53" spans="1:4" ht="14.25" customHeight="1" x14ac:dyDescent="0.15">
      <c r="A53" s="28"/>
      <c r="B53" s="28"/>
      <c r="C53" s="28"/>
      <c r="D53" s="28"/>
    </row>
    <row r="54" spans="1:4" ht="14.25" customHeight="1" x14ac:dyDescent="0.15">
      <c r="A54" s="28"/>
      <c r="B54" s="28"/>
      <c r="C54" s="28"/>
      <c r="D54" s="28"/>
    </row>
    <row r="55" spans="1:4" ht="14.25" customHeight="1" x14ac:dyDescent="0.15">
      <c r="A55" s="28"/>
      <c r="B55" s="28"/>
      <c r="C55" s="28"/>
      <c r="D55" s="28"/>
    </row>
    <row r="56" spans="1:4" ht="14.25" customHeight="1" x14ac:dyDescent="0.15">
      <c r="A56" s="28"/>
      <c r="B56" s="28"/>
      <c r="C56" s="28"/>
      <c r="D56" s="28"/>
    </row>
    <row r="57" spans="1:4" ht="14.25" customHeight="1" x14ac:dyDescent="0.15">
      <c r="A57" s="28"/>
      <c r="B57" s="28"/>
      <c r="C57" s="28"/>
      <c r="D57" s="28"/>
    </row>
    <row r="58" spans="1:4" ht="14.25" customHeight="1" x14ac:dyDescent="0.15">
      <c r="A58" s="28"/>
      <c r="B58" s="28"/>
      <c r="C58" s="28"/>
      <c r="D58" s="28"/>
    </row>
    <row r="59" spans="1:4" ht="14.25" customHeight="1" x14ac:dyDescent="0.15">
      <c r="A59" s="28"/>
      <c r="B59" s="28"/>
      <c r="C59" s="28"/>
      <c r="D59" s="28"/>
    </row>
    <row r="60" spans="1:4" ht="14.25" customHeight="1" x14ac:dyDescent="0.15">
      <c r="A60" s="28"/>
      <c r="B60" s="28"/>
      <c r="C60" s="28"/>
      <c r="D60" s="28"/>
    </row>
    <row r="61" spans="1:4" ht="14.25" customHeight="1" x14ac:dyDescent="0.15">
      <c r="A61" s="28"/>
      <c r="B61" s="28"/>
      <c r="C61" s="28"/>
      <c r="D61" s="28"/>
    </row>
    <row r="62" spans="1:4" ht="14.25" customHeight="1" x14ac:dyDescent="0.15">
      <c r="A62" s="28"/>
      <c r="B62" s="28"/>
      <c r="C62" s="28"/>
      <c r="D62" s="28"/>
    </row>
    <row r="63" spans="1:4" ht="14.25" customHeight="1" x14ac:dyDescent="0.15">
      <c r="A63" s="28"/>
      <c r="B63" s="28"/>
      <c r="C63" s="28"/>
      <c r="D63" s="28"/>
    </row>
    <row r="64" spans="1:4" ht="14.25" customHeight="1" x14ac:dyDescent="0.15">
      <c r="A64" s="28"/>
      <c r="B64" s="28"/>
      <c r="C64" s="28"/>
      <c r="D64" s="28"/>
    </row>
    <row r="65" spans="1:4" ht="14.25" customHeight="1" x14ac:dyDescent="0.15">
      <c r="A65" s="28"/>
      <c r="B65" s="28"/>
      <c r="C65" s="28"/>
      <c r="D65" s="28"/>
    </row>
    <row r="66" spans="1:4" ht="14.25" customHeight="1" x14ac:dyDescent="0.15">
      <c r="A66" s="28"/>
      <c r="B66" s="28"/>
      <c r="C66" s="28"/>
      <c r="D66" s="28"/>
    </row>
    <row r="67" spans="1:4" ht="14.25" customHeight="1" x14ac:dyDescent="0.15">
      <c r="A67" s="28"/>
      <c r="B67" s="28"/>
      <c r="C67" s="28"/>
      <c r="D67" s="28"/>
    </row>
    <row r="68" spans="1:4" ht="14.25" customHeight="1" x14ac:dyDescent="0.15">
      <c r="A68" s="28"/>
      <c r="B68" s="28"/>
      <c r="C68" s="28"/>
      <c r="D68" s="28"/>
    </row>
    <row r="69" spans="1:4" ht="14.25" customHeight="1" x14ac:dyDescent="0.15">
      <c r="A69" s="28"/>
      <c r="B69" s="28"/>
      <c r="C69" s="28"/>
      <c r="D69" s="28"/>
    </row>
    <row r="70" spans="1:4" ht="14.25" customHeight="1" x14ac:dyDescent="0.15">
      <c r="A70" s="28"/>
      <c r="B70" s="28"/>
      <c r="C70" s="28"/>
      <c r="D70" s="28"/>
    </row>
    <row r="71" spans="1:4" ht="14.25" customHeight="1" x14ac:dyDescent="0.15">
      <c r="A71" s="28"/>
      <c r="B71" s="28"/>
      <c r="C71" s="28"/>
      <c r="D71" s="28"/>
    </row>
    <row r="72" spans="1:4" ht="14.25" customHeight="1" x14ac:dyDescent="0.15">
      <c r="A72" s="28"/>
      <c r="B72" s="28"/>
      <c r="C72" s="28"/>
      <c r="D72" s="28"/>
    </row>
    <row r="73" spans="1:4" ht="14.25" customHeight="1" x14ac:dyDescent="0.15">
      <c r="A73" s="28"/>
      <c r="B73" s="28"/>
      <c r="C73" s="28"/>
      <c r="D73" s="28"/>
    </row>
    <row r="74" spans="1:4" ht="14.25" customHeight="1" x14ac:dyDescent="0.15">
      <c r="A74" s="28"/>
      <c r="B74" s="28"/>
      <c r="C74" s="28"/>
      <c r="D74" s="28"/>
    </row>
    <row r="75" spans="1:4" ht="14.25" customHeight="1" x14ac:dyDescent="0.15">
      <c r="A75" s="28"/>
      <c r="B75" s="28"/>
      <c r="C75" s="28"/>
      <c r="D75" s="28"/>
    </row>
    <row r="76" spans="1:4" ht="14.25" customHeight="1" x14ac:dyDescent="0.15">
      <c r="A76" s="28"/>
      <c r="B76" s="28"/>
      <c r="C76" s="28"/>
      <c r="D76" s="28"/>
    </row>
    <row r="77" spans="1:4" ht="14.25" customHeight="1" x14ac:dyDescent="0.15">
      <c r="A77" s="28"/>
      <c r="B77" s="28"/>
      <c r="C77" s="28"/>
      <c r="D77" s="28"/>
    </row>
    <row r="78" spans="1:4" ht="14.25" customHeight="1" x14ac:dyDescent="0.15">
      <c r="A78" s="28"/>
      <c r="B78" s="28"/>
      <c r="C78" s="28"/>
      <c r="D78" s="28"/>
    </row>
    <row r="79" spans="1:4" ht="14.25" customHeight="1" x14ac:dyDescent="0.15">
      <c r="A79" s="28"/>
      <c r="B79" s="28"/>
      <c r="C79" s="28"/>
      <c r="D79" s="28"/>
    </row>
    <row r="80" spans="1:4" ht="14.25" customHeight="1" x14ac:dyDescent="0.15">
      <c r="A80" s="28"/>
      <c r="B80" s="28"/>
      <c r="C80" s="28"/>
      <c r="D80" s="28"/>
    </row>
    <row r="81" spans="1:4" ht="14.25" customHeight="1" x14ac:dyDescent="0.15">
      <c r="A81" s="28"/>
      <c r="B81" s="28"/>
      <c r="C81" s="28"/>
      <c r="D81" s="28"/>
    </row>
    <row r="82" spans="1:4" ht="14.25" customHeight="1" x14ac:dyDescent="0.15">
      <c r="A82" s="28"/>
      <c r="B82" s="28"/>
      <c r="C82" s="28"/>
      <c r="D82" s="28"/>
    </row>
    <row r="83" spans="1:4" ht="14.25" customHeight="1" x14ac:dyDescent="0.15">
      <c r="A83" s="28"/>
      <c r="B83" s="28"/>
      <c r="C83" s="28"/>
      <c r="D83" s="28"/>
    </row>
    <row r="84" spans="1:4" ht="14.25" customHeight="1" x14ac:dyDescent="0.15">
      <c r="A84" s="28"/>
      <c r="B84" s="28"/>
      <c r="C84" s="28"/>
      <c r="D84" s="28"/>
    </row>
    <row r="85" spans="1:4" ht="14.25" customHeight="1" x14ac:dyDescent="0.15">
      <c r="A85" s="28"/>
      <c r="B85" s="28"/>
      <c r="C85" s="28"/>
      <c r="D85" s="28"/>
    </row>
    <row r="86" spans="1:4" ht="14.25" customHeight="1" x14ac:dyDescent="0.15">
      <c r="A86" s="28"/>
      <c r="B86" s="28"/>
      <c r="C86" s="28"/>
      <c r="D86" s="28"/>
    </row>
    <row r="87" spans="1:4" ht="14.25" customHeight="1" x14ac:dyDescent="0.15">
      <c r="A87" s="28"/>
      <c r="B87" s="28"/>
      <c r="C87" s="28"/>
      <c r="D87" s="28"/>
    </row>
    <row r="88" spans="1:4" ht="14.25" customHeight="1" x14ac:dyDescent="0.15">
      <c r="A88" s="28"/>
      <c r="B88" s="28"/>
      <c r="C88" s="28"/>
      <c r="D88" s="28"/>
    </row>
    <row r="89" spans="1:4" ht="14.25" customHeight="1" x14ac:dyDescent="0.15">
      <c r="A89" s="28"/>
      <c r="B89" s="28"/>
      <c r="C89" s="28"/>
      <c r="D89" s="28"/>
    </row>
    <row r="90" spans="1:4" ht="14.25" customHeight="1" x14ac:dyDescent="0.15">
      <c r="A90" s="28"/>
      <c r="B90" s="28"/>
      <c r="C90" s="28"/>
      <c r="D90" s="28"/>
    </row>
    <row r="91" spans="1:4" ht="14.25" customHeight="1" x14ac:dyDescent="0.15">
      <c r="A91" s="28"/>
      <c r="B91" s="28"/>
      <c r="C91" s="28"/>
      <c r="D91" s="28"/>
    </row>
    <row r="92" spans="1:4" ht="14.25" customHeight="1" x14ac:dyDescent="0.15">
      <c r="A92" s="28"/>
      <c r="B92" s="28"/>
      <c r="C92" s="28"/>
      <c r="D92" s="28"/>
    </row>
    <row r="93" spans="1:4" ht="14.25" customHeight="1" x14ac:dyDescent="0.15">
      <c r="A93" s="28"/>
      <c r="B93" s="28"/>
      <c r="C93" s="28"/>
      <c r="D93" s="28"/>
    </row>
    <row r="94" spans="1:4" ht="14.25" customHeight="1" x14ac:dyDescent="0.15">
      <c r="A94" s="28"/>
      <c r="B94" s="28"/>
      <c r="C94" s="28"/>
      <c r="D94" s="28"/>
    </row>
    <row r="95" spans="1:4" ht="14.25" customHeight="1" x14ac:dyDescent="0.15">
      <c r="A95" s="28"/>
      <c r="B95" s="28"/>
      <c r="C95" s="28"/>
      <c r="D95" s="28"/>
    </row>
    <row r="96" spans="1:4" ht="14.25" customHeight="1" x14ac:dyDescent="0.15">
      <c r="A96" s="28"/>
      <c r="B96" s="28"/>
      <c r="C96" s="28"/>
      <c r="D96" s="28"/>
    </row>
    <row r="97" spans="1:4" ht="14.25" customHeight="1" x14ac:dyDescent="0.15">
      <c r="A97" s="28"/>
      <c r="B97" s="28"/>
      <c r="C97" s="28"/>
      <c r="D97" s="28"/>
    </row>
    <row r="98" spans="1:4" ht="14.25" customHeight="1" x14ac:dyDescent="0.15">
      <c r="A98" s="28"/>
      <c r="B98" s="28"/>
      <c r="C98" s="28"/>
      <c r="D98" s="28"/>
    </row>
    <row r="99" spans="1:4" ht="14.25" customHeight="1" x14ac:dyDescent="0.15">
      <c r="A99" s="28"/>
      <c r="B99" s="28"/>
      <c r="C99" s="28"/>
      <c r="D99" s="28"/>
    </row>
    <row r="100" spans="1:4" ht="14.25" customHeight="1" x14ac:dyDescent="0.15">
      <c r="A100" s="28"/>
      <c r="B100" s="28"/>
      <c r="C100" s="28"/>
      <c r="D100" s="28"/>
    </row>
    <row r="101" spans="1:4" ht="14.25" customHeight="1" x14ac:dyDescent="0.15">
      <c r="A101" s="28"/>
      <c r="B101" s="28"/>
      <c r="C101" s="28"/>
      <c r="D101" s="28"/>
    </row>
    <row r="102" spans="1:4" ht="14.25" customHeight="1" x14ac:dyDescent="0.15">
      <c r="A102" s="28"/>
      <c r="B102" s="28"/>
      <c r="C102" s="28"/>
      <c r="D102" s="28"/>
    </row>
    <row r="103" spans="1:4" ht="14.25" customHeight="1" x14ac:dyDescent="0.15">
      <c r="A103" s="28"/>
      <c r="B103" s="28"/>
      <c r="C103" s="28"/>
      <c r="D103" s="28"/>
    </row>
    <row r="104" spans="1:4" ht="14.25" customHeight="1" x14ac:dyDescent="0.15">
      <c r="A104" s="28"/>
      <c r="B104" s="28"/>
      <c r="C104" s="28"/>
      <c r="D104" s="28"/>
    </row>
    <row r="105" spans="1:4" ht="14.25" customHeight="1" x14ac:dyDescent="0.15">
      <c r="A105" s="28"/>
      <c r="B105" s="28"/>
      <c r="C105" s="28"/>
      <c r="D105" s="28"/>
    </row>
    <row r="106" spans="1:4" ht="14.25" customHeight="1" x14ac:dyDescent="0.15">
      <c r="A106" s="28"/>
      <c r="B106" s="28"/>
      <c r="C106" s="28"/>
      <c r="D106" s="28"/>
    </row>
    <row r="107" spans="1:4" ht="14.25" customHeight="1" x14ac:dyDescent="0.15">
      <c r="A107" s="28"/>
      <c r="B107" s="28"/>
      <c r="C107" s="28"/>
      <c r="D107" s="28"/>
    </row>
    <row r="108" spans="1:4" ht="14.25" customHeight="1" x14ac:dyDescent="0.15">
      <c r="A108" s="28"/>
      <c r="B108" s="28"/>
      <c r="C108" s="28"/>
      <c r="D108" s="28"/>
    </row>
    <row r="109" spans="1:4" ht="14.25" customHeight="1" x14ac:dyDescent="0.15">
      <c r="A109" s="28"/>
      <c r="B109" s="28"/>
      <c r="C109" s="28"/>
      <c r="D109" s="28"/>
    </row>
    <row r="110" spans="1:4" ht="14.25" customHeight="1" x14ac:dyDescent="0.15">
      <c r="A110" s="28"/>
      <c r="B110" s="28"/>
      <c r="C110" s="28"/>
      <c r="D110" s="28"/>
    </row>
    <row r="111" spans="1:4" ht="14.25" customHeight="1" x14ac:dyDescent="0.15">
      <c r="A111" s="28"/>
      <c r="B111" s="28"/>
      <c r="C111" s="28"/>
      <c r="D111" s="28"/>
    </row>
    <row r="112" spans="1:4" ht="14.25" customHeight="1" x14ac:dyDescent="0.15">
      <c r="A112" s="28"/>
      <c r="B112" s="28"/>
      <c r="C112" s="28"/>
      <c r="D112" s="28"/>
    </row>
    <row r="113" spans="1:4" ht="14.25" customHeight="1" x14ac:dyDescent="0.15">
      <c r="A113" s="28"/>
      <c r="B113" s="28"/>
      <c r="C113" s="28"/>
      <c r="D113" s="28"/>
    </row>
    <row r="114" spans="1:4" ht="14.25" customHeight="1" x14ac:dyDescent="0.15">
      <c r="A114" s="28"/>
      <c r="B114" s="28"/>
      <c r="C114" s="28"/>
      <c r="D114" s="28"/>
    </row>
    <row r="115" spans="1:4" ht="14.25" customHeight="1" x14ac:dyDescent="0.15">
      <c r="A115" s="28"/>
      <c r="B115" s="28"/>
      <c r="C115" s="28"/>
      <c r="D115" s="28"/>
    </row>
    <row r="116" spans="1:4" ht="14.25" customHeight="1" x14ac:dyDescent="0.15">
      <c r="A116" s="28"/>
      <c r="B116" s="28"/>
      <c r="C116" s="28"/>
      <c r="D116" s="28"/>
    </row>
    <row r="117" spans="1:4" ht="14.25" customHeight="1" x14ac:dyDescent="0.15">
      <c r="A117" s="28"/>
      <c r="B117" s="28"/>
      <c r="C117" s="28"/>
      <c r="D117" s="28"/>
    </row>
    <row r="118" spans="1:4" ht="14.25" customHeight="1" x14ac:dyDescent="0.15">
      <c r="A118" s="28"/>
      <c r="B118" s="28"/>
      <c r="C118" s="28"/>
      <c r="D118" s="28"/>
    </row>
    <row r="119" spans="1:4" ht="14.25" customHeight="1" x14ac:dyDescent="0.15">
      <c r="A119" s="28"/>
      <c r="B119" s="28"/>
      <c r="C119" s="28"/>
      <c r="D119" s="28"/>
    </row>
    <row r="120" spans="1:4" ht="14.25" customHeight="1" x14ac:dyDescent="0.15">
      <c r="A120" s="28"/>
      <c r="B120" s="28"/>
      <c r="C120" s="28"/>
      <c r="D120" s="28"/>
    </row>
    <row r="121" spans="1:4" ht="14.25" customHeight="1" x14ac:dyDescent="0.15">
      <c r="A121" s="28"/>
      <c r="B121" s="28"/>
      <c r="C121" s="28"/>
      <c r="D121" s="28"/>
    </row>
    <row r="122" spans="1:4" ht="14.25" customHeight="1" x14ac:dyDescent="0.15">
      <c r="A122" s="28"/>
      <c r="B122" s="28"/>
      <c r="C122" s="28"/>
      <c r="D122" s="28"/>
    </row>
    <row r="123" spans="1:4" ht="14.25" customHeight="1" x14ac:dyDescent="0.15">
      <c r="A123" s="28"/>
      <c r="B123" s="28"/>
      <c r="C123" s="28"/>
      <c r="D123" s="28"/>
    </row>
    <row r="124" spans="1:4" ht="14.25" customHeight="1" x14ac:dyDescent="0.15">
      <c r="A124" s="28"/>
      <c r="B124" s="28"/>
      <c r="C124" s="28"/>
      <c r="D124" s="28"/>
    </row>
    <row r="125" spans="1:4" ht="14.25" customHeight="1" x14ac:dyDescent="0.15">
      <c r="A125" s="28"/>
      <c r="B125" s="28"/>
      <c r="C125" s="28"/>
      <c r="D125" s="28"/>
    </row>
    <row r="126" spans="1:4" ht="14.25" customHeight="1" x14ac:dyDescent="0.15">
      <c r="A126" s="28"/>
      <c r="B126" s="28"/>
      <c r="C126" s="28"/>
      <c r="D126" s="28"/>
    </row>
    <row r="127" spans="1:4" ht="14.25" customHeight="1" x14ac:dyDescent="0.15">
      <c r="A127" s="28"/>
      <c r="B127" s="28"/>
      <c r="C127" s="28"/>
      <c r="D127" s="28"/>
    </row>
    <row r="128" spans="1:4" ht="14.25" customHeight="1" x14ac:dyDescent="0.15">
      <c r="A128" s="28"/>
      <c r="B128" s="28"/>
      <c r="C128" s="28"/>
      <c r="D128" s="28"/>
    </row>
    <row r="129" spans="1:4" ht="14.25" customHeight="1" x14ac:dyDescent="0.15">
      <c r="A129" s="28"/>
      <c r="B129" s="28"/>
      <c r="C129" s="28"/>
      <c r="D129" s="28"/>
    </row>
    <row r="130" spans="1:4" ht="14.25" customHeight="1" x14ac:dyDescent="0.15">
      <c r="A130" s="28"/>
      <c r="B130" s="28"/>
      <c r="C130" s="28"/>
      <c r="D130" s="28"/>
    </row>
    <row r="131" spans="1:4" ht="14.25" customHeight="1" x14ac:dyDescent="0.15">
      <c r="A131" s="28"/>
      <c r="B131" s="28"/>
      <c r="C131" s="28"/>
      <c r="D131" s="28"/>
    </row>
    <row r="132" spans="1:4" ht="14.25" customHeight="1" x14ac:dyDescent="0.15">
      <c r="A132" s="28"/>
      <c r="B132" s="28"/>
      <c r="C132" s="28"/>
      <c r="D132" s="28"/>
    </row>
    <row r="133" spans="1:4" ht="14.25" customHeight="1" x14ac:dyDescent="0.15">
      <c r="A133" s="28"/>
      <c r="B133" s="28"/>
      <c r="C133" s="28"/>
      <c r="D133" s="28"/>
    </row>
    <row r="134" spans="1:4" ht="14.25" customHeight="1" x14ac:dyDescent="0.15">
      <c r="A134" s="28"/>
      <c r="B134" s="28"/>
      <c r="C134" s="28"/>
      <c r="D134" s="28"/>
    </row>
    <row r="135" spans="1:4" ht="14.25" customHeight="1" x14ac:dyDescent="0.15">
      <c r="A135" s="28"/>
      <c r="B135" s="28"/>
      <c r="C135" s="28"/>
      <c r="D135" s="28"/>
    </row>
    <row r="136" spans="1:4" ht="14.25" customHeight="1" x14ac:dyDescent="0.15">
      <c r="A136" s="28"/>
      <c r="B136" s="28"/>
      <c r="C136" s="28"/>
      <c r="D136" s="28"/>
    </row>
    <row r="137" spans="1:4" ht="14.25" customHeight="1" x14ac:dyDescent="0.15">
      <c r="A137" s="28"/>
      <c r="B137" s="28"/>
      <c r="C137" s="28"/>
      <c r="D137" s="28"/>
    </row>
    <row r="138" spans="1:4" ht="14.25" customHeight="1" x14ac:dyDescent="0.15">
      <c r="A138" s="28"/>
      <c r="B138" s="28"/>
      <c r="C138" s="28"/>
      <c r="D138" s="28"/>
    </row>
    <row r="139" spans="1:4" ht="14.25" customHeight="1" x14ac:dyDescent="0.15">
      <c r="A139" s="28"/>
      <c r="B139" s="28"/>
      <c r="C139" s="28"/>
      <c r="D139" s="28"/>
    </row>
    <row r="140" spans="1:4" ht="14.25" customHeight="1" x14ac:dyDescent="0.15">
      <c r="A140" s="28"/>
      <c r="B140" s="28"/>
      <c r="C140" s="28"/>
      <c r="D140" s="28"/>
    </row>
    <row r="141" spans="1:4" ht="14.25" customHeight="1" x14ac:dyDescent="0.15">
      <c r="A141" s="28"/>
      <c r="B141" s="28"/>
      <c r="C141" s="28"/>
      <c r="D141" s="28"/>
    </row>
    <row r="142" spans="1:4" ht="14.25" customHeight="1" x14ac:dyDescent="0.15">
      <c r="A142" s="28"/>
      <c r="B142" s="28"/>
      <c r="C142" s="28"/>
      <c r="D142" s="28"/>
    </row>
    <row r="143" spans="1:4" ht="14.25" customHeight="1" x14ac:dyDescent="0.15">
      <c r="A143" s="28"/>
      <c r="B143" s="28"/>
      <c r="C143" s="28"/>
      <c r="D143" s="28"/>
    </row>
    <row r="144" spans="1:4" ht="14.25" customHeight="1" x14ac:dyDescent="0.15">
      <c r="A144" s="28"/>
      <c r="B144" s="28"/>
      <c r="C144" s="28"/>
      <c r="D144" s="28"/>
    </row>
    <row r="145" spans="1:4" ht="14.25" customHeight="1" x14ac:dyDescent="0.15">
      <c r="A145" s="28"/>
      <c r="B145" s="28"/>
      <c r="C145" s="28"/>
      <c r="D145" s="28"/>
    </row>
    <row r="146" spans="1:4" ht="14.25" customHeight="1" x14ac:dyDescent="0.15">
      <c r="A146" s="28"/>
      <c r="B146" s="28"/>
      <c r="C146" s="28"/>
      <c r="D146" s="28"/>
    </row>
    <row r="147" spans="1:4" ht="14.25" customHeight="1" x14ac:dyDescent="0.15">
      <c r="A147" s="28"/>
      <c r="B147" s="28"/>
      <c r="C147" s="28"/>
      <c r="D147" s="28"/>
    </row>
    <row r="148" spans="1:4" ht="14.25" customHeight="1" x14ac:dyDescent="0.15">
      <c r="A148" s="28"/>
      <c r="B148" s="28"/>
      <c r="C148" s="28"/>
      <c r="D148" s="28"/>
    </row>
    <row r="149" spans="1:4" ht="14.25" customHeight="1" x14ac:dyDescent="0.15">
      <c r="A149" s="28"/>
      <c r="B149" s="28"/>
      <c r="C149" s="28"/>
      <c r="D149" s="28"/>
    </row>
    <row r="150" spans="1:4" ht="14.25" customHeight="1" x14ac:dyDescent="0.15">
      <c r="A150" s="28"/>
      <c r="B150" s="28"/>
      <c r="C150" s="28"/>
      <c r="D150" s="28"/>
    </row>
    <row r="151" spans="1:4" ht="14.25" customHeight="1" x14ac:dyDescent="0.15">
      <c r="A151" s="28"/>
      <c r="B151" s="28"/>
      <c r="C151" s="28"/>
      <c r="D151" s="28"/>
    </row>
    <row r="152" spans="1:4" ht="14.25" customHeight="1" x14ac:dyDescent="0.15">
      <c r="A152" s="28"/>
      <c r="B152" s="28"/>
      <c r="C152" s="28"/>
      <c r="D152" s="28"/>
    </row>
    <row r="153" spans="1:4" ht="14.25" customHeight="1" x14ac:dyDescent="0.15">
      <c r="A153" s="28"/>
      <c r="B153" s="28"/>
      <c r="C153" s="28"/>
      <c r="D153" s="28"/>
    </row>
    <row r="154" spans="1:4" ht="14.25" customHeight="1" x14ac:dyDescent="0.15">
      <c r="A154" s="28"/>
      <c r="B154" s="28"/>
      <c r="C154" s="28"/>
      <c r="D154" s="28"/>
    </row>
    <row r="155" spans="1:4" ht="14.25" customHeight="1" x14ac:dyDescent="0.15">
      <c r="A155" s="28"/>
      <c r="B155" s="28"/>
      <c r="C155" s="28"/>
      <c r="D155" s="28"/>
    </row>
    <row r="156" spans="1:4" ht="14.25" customHeight="1" x14ac:dyDescent="0.15">
      <c r="A156" s="28"/>
      <c r="B156" s="28"/>
      <c r="C156" s="28"/>
      <c r="D156" s="28"/>
    </row>
    <row r="157" spans="1:4" ht="14.25" customHeight="1" x14ac:dyDescent="0.15">
      <c r="A157" s="28"/>
      <c r="B157" s="28"/>
      <c r="C157" s="28"/>
      <c r="D157" s="28"/>
    </row>
    <row r="158" spans="1:4" ht="14.25" customHeight="1" x14ac:dyDescent="0.15">
      <c r="A158" s="28"/>
      <c r="B158" s="28"/>
      <c r="C158" s="28"/>
      <c r="D158" s="28"/>
    </row>
    <row r="159" spans="1:4" ht="14.25" customHeight="1" x14ac:dyDescent="0.15">
      <c r="A159" s="28"/>
      <c r="B159" s="28"/>
      <c r="C159" s="28"/>
      <c r="D159" s="28"/>
    </row>
    <row r="160" spans="1:4" ht="14.25" customHeight="1" x14ac:dyDescent="0.15">
      <c r="A160" s="28"/>
      <c r="B160" s="28"/>
      <c r="C160" s="28"/>
      <c r="D160" s="28"/>
    </row>
    <row r="161" spans="1:4" ht="14.25" customHeight="1" x14ac:dyDescent="0.15">
      <c r="A161" s="28"/>
      <c r="B161" s="28"/>
      <c r="C161" s="28"/>
      <c r="D161" s="28"/>
    </row>
    <row r="162" spans="1:4" ht="14.25" customHeight="1" x14ac:dyDescent="0.15">
      <c r="A162" s="28"/>
      <c r="B162" s="28"/>
      <c r="C162" s="28"/>
      <c r="D162" s="28"/>
    </row>
    <row r="163" spans="1:4" ht="14.25" customHeight="1" x14ac:dyDescent="0.15">
      <c r="A163" s="28"/>
      <c r="B163" s="28"/>
      <c r="C163" s="28"/>
      <c r="D163" s="28"/>
    </row>
    <row r="164" spans="1:4" ht="14.25" customHeight="1" x14ac:dyDescent="0.15">
      <c r="A164" s="28"/>
      <c r="B164" s="28"/>
      <c r="C164" s="28"/>
      <c r="D164" s="28"/>
    </row>
    <row r="165" spans="1:4" ht="14.25" customHeight="1" x14ac:dyDescent="0.15">
      <c r="A165" s="28"/>
      <c r="B165" s="28"/>
      <c r="C165" s="28"/>
      <c r="D165" s="28"/>
    </row>
    <row r="166" spans="1:4" ht="14.25" customHeight="1" x14ac:dyDescent="0.15">
      <c r="A166" s="28"/>
      <c r="B166" s="28"/>
      <c r="C166" s="28"/>
      <c r="D166" s="28"/>
    </row>
    <row r="167" spans="1:4" ht="14.25" customHeight="1" x14ac:dyDescent="0.15">
      <c r="A167" s="28"/>
      <c r="B167" s="28"/>
      <c r="C167" s="28"/>
      <c r="D167" s="28"/>
    </row>
    <row r="168" spans="1:4" ht="14.25" customHeight="1" x14ac:dyDescent="0.15">
      <c r="A168" s="28"/>
      <c r="B168" s="28"/>
      <c r="C168" s="28"/>
      <c r="D168" s="28"/>
    </row>
    <row r="169" spans="1:4" ht="14.25" customHeight="1" x14ac:dyDescent="0.15">
      <c r="A169" s="28"/>
      <c r="B169" s="28"/>
      <c r="C169" s="28"/>
      <c r="D169" s="28"/>
    </row>
    <row r="170" spans="1:4" ht="14.25" customHeight="1" x14ac:dyDescent="0.15">
      <c r="A170" s="28"/>
      <c r="B170" s="28"/>
      <c r="C170" s="28"/>
      <c r="D170" s="28"/>
    </row>
    <row r="171" spans="1:4" ht="14.25" customHeight="1" x14ac:dyDescent="0.15">
      <c r="A171" s="28"/>
      <c r="B171" s="28"/>
      <c r="C171" s="28"/>
      <c r="D171" s="28"/>
    </row>
    <row r="172" spans="1:4" ht="14.25" customHeight="1" x14ac:dyDescent="0.15">
      <c r="A172" s="28"/>
      <c r="B172" s="28"/>
      <c r="C172" s="28"/>
      <c r="D172" s="28"/>
    </row>
    <row r="173" spans="1:4" ht="14.25" customHeight="1" x14ac:dyDescent="0.15">
      <c r="A173" s="28"/>
      <c r="B173" s="28"/>
      <c r="C173" s="28"/>
      <c r="D173" s="28"/>
    </row>
    <row r="174" spans="1:4" ht="14.25" customHeight="1" x14ac:dyDescent="0.15">
      <c r="A174" s="28"/>
      <c r="B174" s="28"/>
      <c r="C174" s="28"/>
      <c r="D174" s="28"/>
    </row>
    <row r="175" spans="1:4" ht="14.25" customHeight="1" x14ac:dyDescent="0.15">
      <c r="A175" s="28"/>
      <c r="B175" s="28"/>
      <c r="C175" s="28"/>
      <c r="D175" s="28"/>
    </row>
    <row r="176" spans="1:4" ht="14.25" customHeight="1" x14ac:dyDescent="0.15">
      <c r="A176" s="28"/>
      <c r="B176" s="28"/>
      <c r="C176" s="28"/>
      <c r="D176" s="28"/>
    </row>
    <row r="177" spans="1:4" ht="14.25" customHeight="1" x14ac:dyDescent="0.15">
      <c r="A177" s="28"/>
      <c r="B177" s="28"/>
      <c r="C177" s="28"/>
      <c r="D177" s="28"/>
    </row>
    <row r="178" spans="1:4" ht="14.25" customHeight="1" x14ac:dyDescent="0.15">
      <c r="A178" s="28"/>
      <c r="B178" s="28"/>
      <c r="C178" s="28"/>
      <c r="D178" s="28"/>
    </row>
    <row r="179" spans="1:4" ht="14.25" customHeight="1" x14ac:dyDescent="0.15">
      <c r="A179" s="28"/>
      <c r="B179" s="28"/>
      <c r="C179" s="28"/>
      <c r="D179" s="28"/>
    </row>
    <row r="180" spans="1:4" ht="14.25" customHeight="1" x14ac:dyDescent="0.15">
      <c r="A180" s="28"/>
      <c r="B180" s="28"/>
      <c r="C180" s="28"/>
      <c r="D180" s="28"/>
    </row>
    <row r="181" spans="1:4" ht="14.25" customHeight="1" x14ac:dyDescent="0.15">
      <c r="A181" s="28"/>
      <c r="B181" s="28"/>
      <c r="C181" s="28"/>
      <c r="D181" s="28"/>
    </row>
    <row r="182" spans="1:4" ht="14.25" customHeight="1" x14ac:dyDescent="0.15">
      <c r="A182" s="28"/>
      <c r="B182" s="28"/>
      <c r="C182" s="28"/>
      <c r="D182" s="28"/>
    </row>
    <row r="183" spans="1:4" ht="14.25" customHeight="1" x14ac:dyDescent="0.15">
      <c r="A183" s="28"/>
      <c r="B183" s="28"/>
      <c r="C183" s="28"/>
      <c r="D183" s="28"/>
    </row>
    <row r="184" spans="1:4" ht="14.25" customHeight="1" x14ac:dyDescent="0.15">
      <c r="A184" s="28"/>
      <c r="B184" s="28"/>
      <c r="C184" s="28"/>
      <c r="D184" s="28"/>
    </row>
    <row r="185" spans="1:4" ht="14.25" customHeight="1" x14ac:dyDescent="0.15">
      <c r="A185" s="28"/>
      <c r="B185" s="28"/>
      <c r="C185" s="28"/>
      <c r="D185" s="28"/>
    </row>
    <row r="186" spans="1:4" ht="14.25" customHeight="1" x14ac:dyDescent="0.15">
      <c r="A186" s="28"/>
      <c r="B186" s="28"/>
      <c r="C186" s="28"/>
      <c r="D186" s="28"/>
    </row>
    <row r="187" spans="1:4" ht="14.25" customHeight="1" x14ac:dyDescent="0.15">
      <c r="A187" s="28"/>
      <c r="B187" s="28"/>
      <c r="C187" s="28"/>
      <c r="D187" s="28"/>
    </row>
    <row r="188" spans="1:4" ht="14.25" customHeight="1" x14ac:dyDescent="0.15">
      <c r="A188" s="28"/>
      <c r="B188" s="28"/>
      <c r="C188" s="28"/>
      <c r="D188" s="28"/>
    </row>
    <row r="189" spans="1:4" ht="14.25" customHeight="1" x14ac:dyDescent="0.15">
      <c r="A189" s="28"/>
      <c r="B189" s="28"/>
      <c r="C189" s="28"/>
      <c r="D189" s="28"/>
    </row>
    <row r="190" spans="1:4" ht="14.25" customHeight="1" x14ac:dyDescent="0.15">
      <c r="A190" s="28"/>
      <c r="B190" s="28"/>
      <c r="C190" s="28"/>
      <c r="D190" s="28"/>
    </row>
    <row r="191" spans="1:4" ht="14.25" customHeight="1" x14ac:dyDescent="0.15">
      <c r="A191" s="28"/>
      <c r="B191" s="28"/>
      <c r="C191" s="28"/>
      <c r="D191" s="28"/>
    </row>
    <row r="192" spans="1:4" ht="14.25" customHeight="1" x14ac:dyDescent="0.15">
      <c r="A192" s="28"/>
      <c r="B192" s="28"/>
      <c r="C192" s="28"/>
      <c r="D192" s="28"/>
    </row>
    <row r="193" spans="1:4" ht="14.25" customHeight="1" x14ac:dyDescent="0.15">
      <c r="A193" s="28"/>
      <c r="B193" s="28"/>
      <c r="C193" s="28"/>
      <c r="D193" s="28"/>
    </row>
    <row r="194" spans="1:4" ht="14.25" customHeight="1" x14ac:dyDescent="0.15">
      <c r="A194" s="28"/>
      <c r="B194" s="28"/>
      <c r="C194" s="28"/>
      <c r="D194" s="28"/>
    </row>
    <row r="195" spans="1:4" ht="14.25" customHeight="1" x14ac:dyDescent="0.15">
      <c r="A195" s="28"/>
      <c r="B195" s="28"/>
      <c r="C195" s="28"/>
      <c r="D195" s="28"/>
    </row>
    <row r="196" spans="1:4" ht="14.25" customHeight="1" x14ac:dyDescent="0.15">
      <c r="A196" s="28"/>
      <c r="B196" s="28"/>
      <c r="C196" s="28"/>
      <c r="D196" s="28"/>
    </row>
    <row r="197" spans="1:4" ht="14.25" customHeight="1" x14ac:dyDescent="0.15">
      <c r="A197" s="28"/>
      <c r="B197" s="28"/>
      <c r="C197" s="28"/>
      <c r="D197" s="28"/>
    </row>
    <row r="198" spans="1:4" ht="14.25" customHeight="1" x14ac:dyDescent="0.15">
      <c r="A198" s="28"/>
      <c r="B198" s="28"/>
      <c r="C198" s="28"/>
      <c r="D198" s="28"/>
    </row>
    <row r="199" spans="1:4" ht="14.25" customHeight="1" x14ac:dyDescent="0.15">
      <c r="A199" s="28"/>
      <c r="B199" s="28"/>
      <c r="C199" s="28"/>
      <c r="D199" s="28"/>
    </row>
    <row r="200" spans="1:4" ht="14.25" customHeight="1" x14ac:dyDescent="0.15">
      <c r="A200" s="28"/>
      <c r="B200" s="28"/>
      <c r="C200" s="28"/>
      <c r="D200" s="28"/>
    </row>
    <row r="201" spans="1:4" ht="14.25" customHeight="1" x14ac:dyDescent="0.15">
      <c r="A201" s="28"/>
      <c r="B201" s="28"/>
      <c r="C201" s="28"/>
      <c r="D201" s="28"/>
    </row>
    <row r="202" spans="1:4" ht="14.25" customHeight="1" x14ac:dyDescent="0.15">
      <c r="A202" s="28"/>
      <c r="B202" s="28"/>
      <c r="C202" s="28"/>
      <c r="D202" s="28"/>
    </row>
    <row r="203" spans="1:4" ht="14.25" customHeight="1" x14ac:dyDescent="0.15">
      <c r="A203" s="28"/>
      <c r="B203" s="28"/>
      <c r="C203" s="28"/>
      <c r="D203" s="28"/>
    </row>
    <row r="204" spans="1:4" ht="14.25" customHeight="1" x14ac:dyDescent="0.15">
      <c r="A204" s="28"/>
      <c r="B204" s="28"/>
      <c r="C204" s="28"/>
      <c r="D204" s="28"/>
    </row>
    <row r="205" spans="1:4" ht="14.25" customHeight="1" x14ac:dyDescent="0.15">
      <c r="A205" s="28"/>
      <c r="B205" s="28"/>
      <c r="C205" s="28"/>
      <c r="D205" s="28"/>
    </row>
    <row r="206" spans="1:4" ht="14.25" customHeight="1" x14ac:dyDescent="0.15">
      <c r="A206" s="28"/>
      <c r="B206" s="28"/>
      <c r="C206" s="28"/>
      <c r="D206" s="28"/>
    </row>
    <row r="207" spans="1:4" ht="14.25" customHeight="1" x14ac:dyDescent="0.15">
      <c r="A207" s="28"/>
      <c r="B207" s="28"/>
      <c r="C207" s="28"/>
      <c r="D207" s="28"/>
    </row>
    <row r="208" spans="1:4" ht="14.25" customHeight="1" x14ac:dyDescent="0.15">
      <c r="A208" s="28"/>
      <c r="B208" s="28"/>
      <c r="C208" s="28"/>
      <c r="D208" s="28"/>
    </row>
    <row r="209" spans="1:4" ht="14.25" customHeight="1" x14ac:dyDescent="0.15">
      <c r="A209" s="28"/>
      <c r="B209" s="28"/>
      <c r="C209" s="28"/>
      <c r="D209" s="28"/>
    </row>
    <row r="210" spans="1:4" ht="14.25" customHeight="1" x14ac:dyDescent="0.15">
      <c r="A210" s="28"/>
      <c r="B210" s="28"/>
      <c r="C210" s="28"/>
      <c r="D210" s="28"/>
    </row>
    <row r="211" spans="1:4" ht="14.25" customHeight="1" x14ac:dyDescent="0.15">
      <c r="A211" s="28"/>
      <c r="B211" s="28"/>
      <c r="C211" s="28"/>
      <c r="D211" s="28"/>
    </row>
    <row r="212" spans="1:4" ht="14.25" customHeight="1" x14ac:dyDescent="0.15">
      <c r="A212" s="28"/>
      <c r="B212" s="28"/>
      <c r="C212" s="28"/>
      <c r="D212" s="28"/>
    </row>
    <row r="213" spans="1:4" ht="14.25" customHeight="1" x14ac:dyDescent="0.15">
      <c r="A213" s="28"/>
      <c r="B213" s="28"/>
      <c r="C213" s="28"/>
      <c r="D213" s="28"/>
    </row>
    <row r="214" spans="1:4" ht="14.25" customHeight="1" x14ac:dyDescent="0.15">
      <c r="A214" s="28"/>
      <c r="B214" s="28"/>
      <c r="C214" s="28"/>
      <c r="D214" s="28"/>
    </row>
    <row r="215" spans="1:4" ht="14.25" customHeight="1" x14ac:dyDescent="0.15">
      <c r="A215" s="28"/>
      <c r="B215" s="28"/>
      <c r="C215" s="28"/>
      <c r="D215" s="28"/>
    </row>
    <row r="216" spans="1:4" ht="14.25" customHeight="1" x14ac:dyDescent="0.15">
      <c r="A216" s="28"/>
      <c r="B216" s="28"/>
      <c r="C216" s="28"/>
      <c r="D216" s="28"/>
    </row>
    <row r="217" spans="1:4" ht="14.25" customHeight="1" x14ac:dyDescent="0.15">
      <c r="A217" s="28"/>
      <c r="B217" s="28"/>
      <c r="C217" s="28"/>
      <c r="D217" s="28"/>
    </row>
    <row r="218" spans="1:4" ht="14.25" customHeight="1" x14ac:dyDescent="0.15">
      <c r="A218" s="28"/>
      <c r="B218" s="28"/>
      <c r="C218" s="28"/>
      <c r="D218" s="28"/>
    </row>
    <row r="219" spans="1:4" ht="14.25" customHeight="1" x14ac:dyDescent="0.15">
      <c r="A219" s="28"/>
      <c r="B219" s="28"/>
      <c r="C219" s="28"/>
      <c r="D219" s="28"/>
    </row>
    <row r="220" spans="1:4" ht="14.25" customHeight="1" x14ac:dyDescent="0.15">
      <c r="A220" s="28"/>
      <c r="B220" s="28"/>
      <c r="C220" s="28"/>
      <c r="D220" s="28"/>
    </row>
    <row r="221" spans="1:4" ht="15.75" customHeight="1" x14ac:dyDescent="0.15"/>
    <row r="222" spans="1:4" ht="15.75" customHeight="1" x14ac:dyDescent="0.15"/>
    <row r="223" spans="1:4" ht="15.75" customHeight="1" x14ac:dyDescent="0.15"/>
    <row r="224" spans="1: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B1:B1000">
    <cfRule type="expression" dxfId="3" priority="1">
      <formula>OR(AND(YEAR(B1)=YEAR(TODAY()),MONTH(B1)+1=MONTH(TODAY())),AND(YEAR(B1)+1=YEAR(TODAY()),MONTH(B1)=12,MONTH(TODAY())=1))</formula>
    </cfRule>
  </conditionalFormatting>
  <conditionalFormatting sqref="B2:B1000">
    <cfRule type="expression" dxfId="2" priority="2">
      <formula>AND(YEAR(B2)=YEAR(TODAY()),MONTH(B2)=MONTH(TODAY()))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I1000"/>
  <sheetViews>
    <sheetView workbookViewId="0"/>
  </sheetViews>
  <sheetFormatPr defaultColWidth="12.625" defaultRowHeight="15" customHeight="1" x14ac:dyDescent="0.15"/>
  <cols>
    <col min="1" max="1" width="27.08984375" customWidth="1"/>
    <col min="2" max="2" width="15.69140625" customWidth="1"/>
    <col min="3" max="3" width="8.703125" customWidth="1"/>
    <col min="4" max="4" width="10.296875" customWidth="1"/>
    <col min="5" max="5" width="16.1796875" customWidth="1"/>
    <col min="6" max="6" width="13.484375" customWidth="1"/>
    <col min="7" max="9" width="8.578125" customWidth="1"/>
  </cols>
  <sheetData>
    <row r="1" spans="1:9" ht="14.25" customHeight="1" x14ac:dyDescent="0.15">
      <c r="A1" s="31" t="s">
        <v>63</v>
      </c>
      <c r="B1" s="32" t="s">
        <v>64</v>
      </c>
      <c r="C1" s="32" t="s">
        <v>65</v>
      </c>
      <c r="D1" s="32" t="s">
        <v>66</v>
      </c>
      <c r="E1" s="32" t="s">
        <v>67</v>
      </c>
      <c r="F1" s="32" t="s">
        <v>68</v>
      </c>
      <c r="H1" s="28"/>
      <c r="I1" s="28"/>
    </row>
    <row r="2" spans="1:9" ht="14.25" customHeight="1" x14ac:dyDescent="0.15">
      <c r="A2" s="33" t="s">
        <v>69</v>
      </c>
      <c r="B2" s="33" t="s">
        <v>70</v>
      </c>
      <c r="C2" s="33">
        <v>140811</v>
      </c>
      <c r="D2" s="33">
        <v>2340</v>
      </c>
      <c r="E2" s="33">
        <v>2000</v>
      </c>
      <c r="F2" s="33">
        <v>1000</v>
      </c>
      <c r="H2" s="28"/>
      <c r="I2" s="28"/>
    </row>
    <row r="3" spans="1:9" ht="14.25" customHeight="1" x14ac:dyDescent="0.15">
      <c r="A3" s="33" t="s">
        <v>71</v>
      </c>
      <c r="B3" s="33" t="s">
        <v>70</v>
      </c>
      <c r="C3" s="33">
        <v>138789</v>
      </c>
      <c r="D3" s="33">
        <v>2723</v>
      </c>
      <c r="E3" s="33">
        <v>1900</v>
      </c>
      <c r="F3" s="33">
        <v>823</v>
      </c>
      <c r="H3" s="28"/>
      <c r="I3" s="28"/>
    </row>
    <row r="4" spans="1:9" ht="14.25" customHeight="1" x14ac:dyDescent="0.15">
      <c r="A4" s="33" t="s">
        <v>72</v>
      </c>
      <c r="B4" s="33" t="s">
        <v>73</v>
      </c>
      <c r="C4" s="33">
        <v>130684</v>
      </c>
      <c r="D4" s="33">
        <v>2798</v>
      </c>
      <c r="E4" s="33">
        <v>2200</v>
      </c>
      <c r="F4" s="33">
        <v>598</v>
      </c>
      <c r="H4" s="28"/>
      <c r="I4" s="28"/>
    </row>
    <row r="5" spans="1:9" ht="14.25" customHeight="1" x14ac:dyDescent="0.15">
      <c r="A5" s="33" t="s">
        <v>74</v>
      </c>
      <c r="B5" s="33" t="s">
        <v>75</v>
      </c>
      <c r="C5" s="33">
        <v>89073</v>
      </c>
      <c r="D5" s="33">
        <v>3950</v>
      </c>
      <c r="E5" s="33">
        <v>3000</v>
      </c>
      <c r="F5" s="33">
        <v>950</v>
      </c>
      <c r="H5" s="28"/>
      <c r="I5" s="28"/>
    </row>
    <row r="6" spans="1:9" ht="14.25" customHeight="1" x14ac:dyDescent="0.15">
      <c r="A6" s="33" t="s">
        <v>76</v>
      </c>
      <c r="B6" s="33" t="s">
        <v>77</v>
      </c>
      <c r="C6" s="33">
        <v>69847</v>
      </c>
      <c r="D6" s="33">
        <v>3826</v>
      </c>
      <c r="E6" s="33">
        <v>3000</v>
      </c>
      <c r="F6" s="33">
        <v>826</v>
      </c>
      <c r="H6" s="28"/>
      <c r="I6" s="28"/>
    </row>
    <row r="7" spans="1:9" ht="14.25" customHeight="1" x14ac:dyDescent="0.15">
      <c r="A7" s="33" t="s">
        <v>78</v>
      </c>
      <c r="B7" s="33" t="s">
        <v>73</v>
      </c>
      <c r="C7" s="33">
        <v>41560</v>
      </c>
      <c r="D7" s="33">
        <v>3706</v>
      </c>
      <c r="E7" s="33">
        <v>3100</v>
      </c>
      <c r="F7" s="33">
        <v>606</v>
      </c>
      <c r="H7" s="28"/>
      <c r="I7" s="28"/>
    </row>
    <row r="8" spans="1:9" ht="14.25" customHeight="1" x14ac:dyDescent="0.15">
      <c r="A8" s="33" t="s">
        <v>79</v>
      </c>
      <c r="B8" s="33" t="s">
        <v>73</v>
      </c>
      <c r="C8" s="33">
        <v>101354</v>
      </c>
      <c r="D8" s="33">
        <v>2000</v>
      </c>
      <c r="E8" s="33">
        <v>1500</v>
      </c>
      <c r="F8" s="33">
        <v>500</v>
      </c>
      <c r="H8" s="28"/>
      <c r="I8" s="28"/>
    </row>
    <row r="9" spans="1:9" ht="14.25" customHeight="1" x14ac:dyDescent="0.15">
      <c r="A9" s="33" t="s">
        <v>79</v>
      </c>
      <c r="B9" s="33" t="s">
        <v>73</v>
      </c>
      <c r="C9" s="33">
        <v>95135</v>
      </c>
      <c r="D9" s="33">
        <v>2500</v>
      </c>
      <c r="E9" s="33">
        <v>2000</v>
      </c>
      <c r="F9" s="33">
        <v>500</v>
      </c>
      <c r="H9" s="28"/>
      <c r="I9" s="28"/>
    </row>
    <row r="10" spans="1:9" ht="14.25" customHeight="1" x14ac:dyDescent="0.15">
      <c r="A10" s="33" t="s">
        <v>79</v>
      </c>
      <c r="B10" s="33" t="s">
        <v>80</v>
      </c>
      <c r="C10" s="33">
        <v>63512</v>
      </c>
      <c r="D10" s="33">
        <v>4000</v>
      </c>
      <c r="E10" s="33">
        <v>3000</v>
      </c>
      <c r="F10" s="33">
        <v>100</v>
      </c>
      <c r="H10" s="28"/>
      <c r="I10" s="28"/>
    </row>
    <row r="11" spans="1:9" ht="14.25" customHeight="1" x14ac:dyDescent="0.15">
      <c r="A11" s="33" t="s">
        <v>81</v>
      </c>
      <c r="B11" s="33" t="s">
        <v>70</v>
      </c>
      <c r="C11" s="33">
        <v>139300</v>
      </c>
      <c r="D11" s="33">
        <v>3361</v>
      </c>
      <c r="E11" s="33">
        <v>3000</v>
      </c>
      <c r="F11" s="33">
        <v>361</v>
      </c>
      <c r="H11" s="28"/>
      <c r="I11" s="28"/>
    </row>
    <row r="12" spans="1:9" ht="14.25" customHeight="1" x14ac:dyDescent="0.15">
      <c r="A12" s="33" t="s">
        <v>82</v>
      </c>
      <c r="B12" s="33" t="s">
        <v>77</v>
      </c>
      <c r="C12" s="33">
        <v>109231</v>
      </c>
      <c r="D12" s="33">
        <v>4959</v>
      </c>
      <c r="E12" s="33">
        <v>4500</v>
      </c>
      <c r="F12" s="33">
        <v>459</v>
      </c>
      <c r="H12" s="28"/>
      <c r="I12" s="28"/>
    </row>
    <row r="13" spans="1:9" ht="14.25" customHeight="1" x14ac:dyDescent="0.15">
      <c r="A13" s="33" t="s">
        <v>69</v>
      </c>
      <c r="B13" s="33" t="s">
        <v>75</v>
      </c>
      <c r="C13" s="33">
        <v>87675</v>
      </c>
      <c r="D13" s="33">
        <v>3791</v>
      </c>
      <c r="E13" s="33">
        <v>3500</v>
      </c>
      <c r="F13" s="33">
        <v>291</v>
      </c>
      <c r="H13" s="28"/>
      <c r="I13" s="28"/>
    </row>
    <row r="14" spans="1:9" ht="14.25" customHeight="1" x14ac:dyDescent="0.15">
      <c r="A14" s="33" t="s">
        <v>72</v>
      </c>
      <c r="B14" s="33" t="s">
        <v>75</v>
      </c>
      <c r="C14" s="33">
        <v>87278</v>
      </c>
      <c r="D14" s="33">
        <v>2224</v>
      </c>
      <c r="E14" s="33">
        <v>2100</v>
      </c>
      <c r="F14" s="33">
        <v>124</v>
      </c>
      <c r="H14" s="28"/>
      <c r="I14" s="28"/>
    </row>
    <row r="15" spans="1:9" ht="14.25" customHeight="1" x14ac:dyDescent="0.15">
      <c r="A15" s="33" t="s">
        <v>83</v>
      </c>
      <c r="B15" s="33" t="s">
        <v>75</v>
      </c>
      <c r="C15" s="33">
        <v>75006</v>
      </c>
      <c r="D15" s="33">
        <v>2198</v>
      </c>
      <c r="E15" s="33">
        <v>1900</v>
      </c>
      <c r="F15" s="33">
        <v>298</v>
      </c>
      <c r="H15" s="28"/>
      <c r="I15" s="28"/>
    </row>
    <row r="16" spans="1:9" ht="14.25" customHeight="1" x14ac:dyDescent="0.15">
      <c r="A16" s="33" t="s">
        <v>84</v>
      </c>
      <c r="B16" s="33" t="s">
        <v>75</v>
      </c>
      <c r="C16" s="33">
        <v>63259</v>
      </c>
      <c r="D16" s="33">
        <v>3196</v>
      </c>
      <c r="E16" s="33">
        <v>3050</v>
      </c>
      <c r="F16" s="33">
        <v>146</v>
      </c>
      <c r="H16" s="28"/>
      <c r="I16" s="28"/>
    </row>
    <row r="17" spans="1:9" ht="14.25" customHeight="1" x14ac:dyDescent="0.15">
      <c r="A17" s="33" t="s">
        <v>72</v>
      </c>
      <c r="B17" s="33" t="s">
        <v>70</v>
      </c>
      <c r="C17" s="33">
        <v>59169</v>
      </c>
      <c r="D17" s="33">
        <v>2160</v>
      </c>
      <c r="E17" s="33">
        <v>2000</v>
      </c>
      <c r="F17" s="33">
        <v>160</v>
      </c>
      <c r="H17" s="28"/>
      <c r="I17" s="28"/>
    </row>
    <row r="18" spans="1:9" ht="14.25" customHeight="1" x14ac:dyDescent="0.15">
      <c r="A18" s="33" t="s">
        <v>76</v>
      </c>
      <c r="B18" s="33" t="s">
        <v>77</v>
      </c>
      <c r="C18" s="33">
        <v>55233</v>
      </c>
      <c r="D18" s="33">
        <v>2970</v>
      </c>
      <c r="E18" s="33">
        <v>2500</v>
      </c>
      <c r="F18" s="33">
        <v>470</v>
      </c>
      <c r="H18" s="28"/>
      <c r="I18" s="28"/>
    </row>
    <row r="19" spans="1:9" ht="14.25" customHeight="1" x14ac:dyDescent="0.15">
      <c r="A19" s="33" t="s">
        <v>84</v>
      </c>
      <c r="B19" s="33" t="s">
        <v>85</v>
      </c>
      <c r="C19" s="33">
        <v>40826</v>
      </c>
      <c r="D19" s="33">
        <v>4397</v>
      </c>
      <c r="E19" s="33">
        <v>3900</v>
      </c>
      <c r="F19" s="33">
        <v>497</v>
      </c>
      <c r="H19" s="28"/>
      <c r="I19" s="28"/>
    </row>
    <row r="20" spans="1:9" ht="14.25" customHeight="1" x14ac:dyDescent="0.15">
      <c r="H20" s="28"/>
      <c r="I20" s="28"/>
    </row>
    <row r="21" spans="1:9" ht="14.25" customHeight="1" x14ac:dyDescent="0.15">
      <c r="H21" s="28"/>
      <c r="I21" s="28"/>
    </row>
    <row r="22" spans="1:9" ht="14.25" customHeight="1" x14ac:dyDescent="0.15">
      <c r="H22" s="28"/>
      <c r="I22" s="28"/>
    </row>
    <row r="23" spans="1:9" ht="14.25" customHeight="1" x14ac:dyDescent="0.15">
      <c r="H23" s="28"/>
      <c r="I23" s="28"/>
    </row>
    <row r="24" spans="1:9" ht="14.25" customHeight="1" x14ac:dyDescent="0.15">
      <c r="H24" s="28"/>
      <c r="I24" s="28"/>
    </row>
    <row r="25" spans="1:9" ht="14.25" customHeight="1" x14ac:dyDescent="0.15">
      <c r="H25" s="28"/>
      <c r="I25" s="28"/>
    </row>
    <row r="26" spans="1:9" ht="14.25" customHeight="1" x14ac:dyDescent="0.15">
      <c r="H26" s="28"/>
      <c r="I26" s="28"/>
    </row>
    <row r="27" spans="1:9" ht="14.25" customHeight="1" x14ac:dyDescent="0.15">
      <c r="H27" s="28"/>
      <c r="I27" s="28"/>
    </row>
    <row r="28" spans="1:9" ht="14.25" customHeight="1" x14ac:dyDescent="0.15">
      <c r="H28" s="28"/>
      <c r="I28" s="28"/>
    </row>
    <row r="29" spans="1:9" ht="14.25" customHeight="1" x14ac:dyDescent="0.15">
      <c r="H29" s="28"/>
      <c r="I29" s="28"/>
    </row>
    <row r="30" spans="1:9" ht="14.25" customHeight="1" x14ac:dyDescent="0.15">
      <c r="H30" s="28"/>
      <c r="I30" s="28"/>
    </row>
    <row r="31" spans="1:9" ht="14.25" customHeight="1" x14ac:dyDescent="0.15">
      <c r="H31" s="28"/>
      <c r="I31" s="28"/>
    </row>
    <row r="32" spans="1:9" ht="14.25" customHeight="1" x14ac:dyDescent="0.15">
      <c r="H32" s="28"/>
      <c r="I32" s="28"/>
    </row>
    <row r="33" spans="8:9" ht="14.25" customHeight="1" x14ac:dyDescent="0.15">
      <c r="H33" s="28"/>
      <c r="I33" s="28"/>
    </row>
    <row r="34" spans="8:9" ht="14.25" customHeight="1" x14ac:dyDescent="0.15">
      <c r="H34" s="28"/>
      <c r="I34" s="28"/>
    </row>
    <row r="35" spans="8:9" ht="14.25" customHeight="1" x14ac:dyDescent="0.15">
      <c r="H35" s="28"/>
      <c r="I35" s="28"/>
    </row>
    <row r="36" spans="8:9" ht="14.25" customHeight="1" x14ac:dyDescent="0.15">
      <c r="H36" s="28"/>
      <c r="I36" s="28"/>
    </row>
    <row r="37" spans="8:9" ht="14.25" customHeight="1" x14ac:dyDescent="0.15">
      <c r="H37" s="28"/>
      <c r="I37" s="28"/>
    </row>
    <row r="38" spans="8:9" ht="14.25" customHeight="1" x14ac:dyDescent="0.15">
      <c r="H38" s="28"/>
      <c r="I38" s="28"/>
    </row>
    <row r="39" spans="8:9" ht="14.25" customHeight="1" x14ac:dyDescent="0.15">
      <c r="H39" s="28"/>
      <c r="I39" s="28"/>
    </row>
    <row r="40" spans="8:9" ht="14.25" customHeight="1" x14ac:dyDescent="0.15">
      <c r="H40" s="28"/>
      <c r="I40" s="28"/>
    </row>
    <row r="41" spans="8:9" ht="14.25" customHeight="1" x14ac:dyDescent="0.15">
      <c r="H41" s="28"/>
      <c r="I41" s="28"/>
    </row>
    <row r="42" spans="8:9" ht="14.25" customHeight="1" x14ac:dyDescent="0.15">
      <c r="H42" s="28"/>
      <c r="I42" s="28"/>
    </row>
    <row r="43" spans="8:9" ht="14.25" customHeight="1" x14ac:dyDescent="0.15">
      <c r="H43" s="28"/>
      <c r="I43" s="28"/>
    </row>
    <row r="44" spans="8:9" ht="14.25" customHeight="1" x14ac:dyDescent="0.15">
      <c r="H44" s="28"/>
      <c r="I44" s="28"/>
    </row>
    <row r="45" spans="8:9" ht="14.25" customHeight="1" x14ac:dyDescent="0.15">
      <c r="H45" s="28"/>
      <c r="I45" s="28"/>
    </row>
    <row r="46" spans="8:9" ht="14.25" customHeight="1" x14ac:dyDescent="0.15">
      <c r="H46" s="28"/>
      <c r="I46" s="28"/>
    </row>
    <row r="47" spans="8:9" ht="14.25" customHeight="1" x14ac:dyDescent="0.15">
      <c r="H47" s="28"/>
      <c r="I47" s="28"/>
    </row>
    <row r="48" spans="8:9" ht="14.25" customHeight="1" x14ac:dyDescent="0.15">
      <c r="H48" s="28"/>
      <c r="I48" s="28"/>
    </row>
    <row r="49" spans="8:9" ht="14.25" customHeight="1" x14ac:dyDescent="0.15">
      <c r="H49" s="28"/>
      <c r="I49" s="28"/>
    </row>
    <row r="50" spans="8:9" ht="14.25" customHeight="1" x14ac:dyDescent="0.15">
      <c r="H50" s="28"/>
      <c r="I50" s="28"/>
    </row>
    <row r="51" spans="8:9" ht="14.25" customHeight="1" x14ac:dyDescent="0.15">
      <c r="H51" s="28"/>
      <c r="I51" s="28"/>
    </row>
    <row r="52" spans="8:9" ht="14.25" customHeight="1" x14ac:dyDescent="0.15">
      <c r="H52" s="28"/>
      <c r="I52" s="28"/>
    </row>
    <row r="53" spans="8:9" ht="14.25" customHeight="1" x14ac:dyDescent="0.15">
      <c r="H53" s="28"/>
      <c r="I53" s="28"/>
    </row>
    <row r="54" spans="8:9" ht="14.25" customHeight="1" x14ac:dyDescent="0.15">
      <c r="H54" s="28"/>
      <c r="I54" s="28"/>
    </row>
    <row r="55" spans="8:9" ht="14.25" customHeight="1" x14ac:dyDescent="0.15">
      <c r="H55" s="28"/>
      <c r="I55" s="28"/>
    </row>
    <row r="56" spans="8:9" ht="14.25" customHeight="1" x14ac:dyDescent="0.15">
      <c r="H56" s="28"/>
      <c r="I56" s="28"/>
    </row>
    <row r="57" spans="8:9" ht="14.25" customHeight="1" x14ac:dyDescent="0.15">
      <c r="H57" s="28"/>
      <c r="I57" s="28"/>
    </row>
    <row r="58" spans="8:9" ht="14.25" customHeight="1" x14ac:dyDescent="0.15">
      <c r="H58" s="28"/>
      <c r="I58" s="28"/>
    </row>
    <row r="59" spans="8:9" ht="14.25" customHeight="1" x14ac:dyDescent="0.15">
      <c r="H59" s="28"/>
      <c r="I59" s="28"/>
    </row>
    <row r="60" spans="8:9" ht="14.25" customHeight="1" x14ac:dyDescent="0.15">
      <c r="H60" s="28"/>
      <c r="I60" s="28"/>
    </row>
    <row r="61" spans="8:9" ht="14.25" customHeight="1" x14ac:dyDescent="0.15">
      <c r="H61" s="28"/>
      <c r="I61" s="28"/>
    </row>
    <row r="62" spans="8:9" ht="14.25" customHeight="1" x14ac:dyDescent="0.15">
      <c r="H62" s="28"/>
      <c r="I62" s="28"/>
    </row>
    <row r="63" spans="8:9" ht="14.25" customHeight="1" x14ac:dyDescent="0.15">
      <c r="H63" s="28"/>
      <c r="I63" s="28"/>
    </row>
    <row r="64" spans="8:9" ht="14.25" customHeight="1" x14ac:dyDescent="0.15">
      <c r="H64" s="28"/>
      <c r="I64" s="28"/>
    </row>
    <row r="65" spans="8:9" ht="14.25" customHeight="1" x14ac:dyDescent="0.15">
      <c r="H65" s="28"/>
      <c r="I65" s="28"/>
    </row>
    <row r="66" spans="8:9" ht="14.25" customHeight="1" x14ac:dyDescent="0.15">
      <c r="H66" s="28"/>
      <c r="I66" s="28"/>
    </row>
    <row r="67" spans="8:9" ht="14.25" customHeight="1" x14ac:dyDescent="0.15">
      <c r="H67" s="28"/>
      <c r="I67" s="28"/>
    </row>
    <row r="68" spans="8:9" ht="14.25" customHeight="1" x14ac:dyDescent="0.15">
      <c r="H68" s="28"/>
      <c r="I68" s="28"/>
    </row>
    <row r="69" spans="8:9" ht="14.25" customHeight="1" x14ac:dyDescent="0.15">
      <c r="H69" s="28"/>
      <c r="I69" s="28"/>
    </row>
    <row r="70" spans="8:9" ht="14.25" customHeight="1" x14ac:dyDescent="0.15">
      <c r="H70" s="28"/>
      <c r="I70" s="28"/>
    </row>
    <row r="71" spans="8:9" ht="14.25" customHeight="1" x14ac:dyDescent="0.15">
      <c r="H71" s="28"/>
      <c r="I71" s="28"/>
    </row>
    <row r="72" spans="8:9" ht="14.25" customHeight="1" x14ac:dyDescent="0.15">
      <c r="H72" s="28"/>
      <c r="I72" s="28"/>
    </row>
    <row r="73" spans="8:9" ht="14.25" customHeight="1" x14ac:dyDescent="0.15">
      <c r="H73" s="28"/>
      <c r="I73" s="28"/>
    </row>
    <row r="74" spans="8:9" ht="14.25" customHeight="1" x14ac:dyDescent="0.15">
      <c r="H74" s="28"/>
      <c r="I74" s="28"/>
    </row>
    <row r="75" spans="8:9" ht="14.25" customHeight="1" x14ac:dyDescent="0.15">
      <c r="H75" s="28"/>
      <c r="I75" s="28"/>
    </row>
    <row r="76" spans="8:9" ht="14.25" customHeight="1" x14ac:dyDescent="0.15">
      <c r="H76" s="28"/>
      <c r="I76" s="28"/>
    </row>
    <row r="77" spans="8:9" ht="14.25" customHeight="1" x14ac:dyDescent="0.15">
      <c r="H77" s="28"/>
      <c r="I77" s="28"/>
    </row>
    <row r="78" spans="8:9" ht="14.25" customHeight="1" x14ac:dyDescent="0.15">
      <c r="H78" s="28"/>
      <c r="I78" s="28"/>
    </row>
    <row r="79" spans="8:9" ht="14.25" customHeight="1" x14ac:dyDescent="0.15">
      <c r="H79" s="28"/>
      <c r="I79" s="28"/>
    </row>
    <row r="80" spans="8:9" ht="14.25" customHeight="1" x14ac:dyDescent="0.15">
      <c r="H80" s="28"/>
      <c r="I80" s="28"/>
    </row>
    <row r="81" spans="8:9" ht="14.25" customHeight="1" x14ac:dyDescent="0.15">
      <c r="H81" s="28"/>
      <c r="I81" s="28"/>
    </row>
    <row r="82" spans="8:9" ht="14.25" customHeight="1" x14ac:dyDescent="0.15">
      <c r="H82" s="28"/>
      <c r="I82" s="28"/>
    </row>
    <row r="83" spans="8:9" ht="14.25" customHeight="1" x14ac:dyDescent="0.15">
      <c r="H83" s="28"/>
      <c r="I83" s="28"/>
    </row>
    <row r="84" spans="8:9" ht="14.25" customHeight="1" x14ac:dyDescent="0.15">
      <c r="H84" s="28"/>
      <c r="I84" s="28"/>
    </row>
    <row r="85" spans="8:9" ht="14.25" customHeight="1" x14ac:dyDescent="0.15">
      <c r="H85" s="28"/>
      <c r="I85" s="28"/>
    </row>
    <row r="86" spans="8:9" ht="14.25" customHeight="1" x14ac:dyDescent="0.15">
      <c r="H86" s="28"/>
      <c r="I86" s="28"/>
    </row>
    <row r="87" spans="8:9" ht="14.25" customHeight="1" x14ac:dyDescent="0.15">
      <c r="H87" s="28"/>
      <c r="I87" s="28"/>
    </row>
    <row r="88" spans="8:9" ht="14.25" customHeight="1" x14ac:dyDescent="0.15">
      <c r="H88" s="28"/>
      <c r="I88" s="28"/>
    </row>
    <row r="89" spans="8:9" ht="14.25" customHeight="1" x14ac:dyDescent="0.15">
      <c r="H89" s="28"/>
      <c r="I89" s="28"/>
    </row>
    <row r="90" spans="8:9" ht="14.25" customHeight="1" x14ac:dyDescent="0.15">
      <c r="H90" s="28"/>
      <c r="I90" s="28"/>
    </row>
    <row r="91" spans="8:9" ht="14.25" customHeight="1" x14ac:dyDescent="0.15">
      <c r="H91" s="28"/>
      <c r="I91" s="28"/>
    </row>
    <row r="92" spans="8:9" ht="14.25" customHeight="1" x14ac:dyDescent="0.15">
      <c r="H92" s="28"/>
      <c r="I92" s="28"/>
    </row>
    <row r="93" spans="8:9" ht="14.25" customHeight="1" x14ac:dyDescent="0.15">
      <c r="H93" s="28"/>
      <c r="I93" s="28"/>
    </row>
    <row r="94" spans="8:9" ht="14.25" customHeight="1" x14ac:dyDescent="0.15">
      <c r="H94" s="28"/>
      <c r="I94" s="28"/>
    </row>
    <row r="95" spans="8:9" ht="14.25" customHeight="1" x14ac:dyDescent="0.15">
      <c r="H95" s="28"/>
      <c r="I95" s="28"/>
    </row>
    <row r="96" spans="8:9" ht="14.25" customHeight="1" x14ac:dyDescent="0.15">
      <c r="H96" s="28"/>
      <c r="I96" s="28"/>
    </row>
    <row r="97" spans="8:9" ht="14.25" customHeight="1" x14ac:dyDescent="0.15">
      <c r="H97" s="28"/>
      <c r="I97" s="28"/>
    </row>
    <row r="98" spans="8:9" ht="14.25" customHeight="1" x14ac:dyDescent="0.15">
      <c r="H98" s="28"/>
      <c r="I98" s="28"/>
    </row>
    <row r="99" spans="8:9" ht="14.25" customHeight="1" x14ac:dyDescent="0.15">
      <c r="H99" s="28"/>
      <c r="I99" s="28"/>
    </row>
    <row r="100" spans="8:9" ht="14.25" customHeight="1" x14ac:dyDescent="0.15">
      <c r="H100" s="28"/>
      <c r="I100" s="28"/>
    </row>
    <row r="101" spans="8:9" ht="14.25" customHeight="1" x14ac:dyDescent="0.15">
      <c r="H101" s="28"/>
      <c r="I101" s="28"/>
    </row>
    <row r="102" spans="8:9" ht="14.25" customHeight="1" x14ac:dyDescent="0.15">
      <c r="H102" s="28"/>
      <c r="I102" s="28"/>
    </row>
    <row r="103" spans="8:9" ht="14.25" customHeight="1" x14ac:dyDescent="0.15">
      <c r="H103" s="28"/>
      <c r="I103" s="28"/>
    </row>
    <row r="104" spans="8:9" ht="14.25" customHeight="1" x14ac:dyDescent="0.15">
      <c r="H104" s="28"/>
      <c r="I104" s="28"/>
    </row>
    <row r="105" spans="8:9" ht="14.25" customHeight="1" x14ac:dyDescent="0.15">
      <c r="H105" s="28"/>
      <c r="I105" s="28"/>
    </row>
    <row r="106" spans="8:9" ht="14.25" customHeight="1" x14ac:dyDescent="0.15">
      <c r="H106" s="28"/>
      <c r="I106" s="28"/>
    </row>
    <row r="107" spans="8:9" ht="14.25" customHeight="1" x14ac:dyDescent="0.15">
      <c r="H107" s="28"/>
      <c r="I107" s="28"/>
    </row>
    <row r="108" spans="8:9" ht="14.25" customHeight="1" x14ac:dyDescent="0.15">
      <c r="H108" s="28"/>
      <c r="I108" s="28"/>
    </row>
    <row r="109" spans="8:9" ht="14.25" customHeight="1" x14ac:dyDescent="0.15">
      <c r="H109" s="28"/>
      <c r="I109" s="28"/>
    </row>
    <row r="110" spans="8:9" ht="14.25" customHeight="1" x14ac:dyDescent="0.15">
      <c r="H110" s="28"/>
      <c r="I110" s="28"/>
    </row>
    <row r="111" spans="8:9" ht="14.25" customHeight="1" x14ac:dyDescent="0.15">
      <c r="H111" s="28"/>
      <c r="I111" s="28"/>
    </row>
    <row r="112" spans="8:9" ht="14.25" customHeight="1" x14ac:dyDescent="0.15">
      <c r="H112" s="28"/>
      <c r="I112" s="28"/>
    </row>
    <row r="113" spans="8:9" ht="14.25" customHeight="1" x14ac:dyDescent="0.15">
      <c r="H113" s="28"/>
      <c r="I113" s="28"/>
    </row>
    <row r="114" spans="8:9" ht="14.25" customHeight="1" x14ac:dyDescent="0.15">
      <c r="H114" s="28"/>
      <c r="I114" s="28"/>
    </row>
    <row r="115" spans="8:9" ht="14.25" customHeight="1" x14ac:dyDescent="0.15">
      <c r="H115" s="28"/>
      <c r="I115" s="28"/>
    </row>
    <row r="116" spans="8:9" ht="14.25" customHeight="1" x14ac:dyDescent="0.15">
      <c r="H116" s="28"/>
      <c r="I116" s="28"/>
    </row>
    <row r="117" spans="8:9" ht="14.25" customHeight="1" x14ac:dyDescent="0.15">
      <c r="H117" s="28"/>
      <c r="I117" s="28"/>
    </row>
    <row r="118" spans="8:9" ht="14.25" customHeight="1" x14ac:dyDescent="0.15">
      <c r="H118" s="28"/>
      <c r="I118" s="28"/>
    </row>
    <row r="119" spans="8:9" ht="14.25" customHeight="1" x14ac:dyDescent="0.15">
      <c r="H119" s="28"/>
      <c r="I119" s="28"/>
    </row>
    <row r="120" spans="8:9" ht="14.25" customHeight="1" x14ac:dyDescent="0.15">
      <c r="H120" s="28"/>
      <c r="I120" s="28"/>
    </row>
    <row r="121" spans="8:9" ht="14.25" customHeight="1" x14ac:dyDescent="0.15">
      <c r="H121" s="28"/>
      <c r="I121" s="28"/>
    </row>
    <row r="122" spans="8:9" ht="14.25" customHeight="1" x14ac:dyDescent="0.15">
      <c r="H122" s="28"/>
      <c r="I122" s="28"/>
    </row>
    <row r="123" spans="8:9" ht="14.25" customHeight="1" x14ac:dyDescent="0.15">
      <c r="H123" s="28"/>
      <c r="I123" s="28"/>
    </row>
    <row r="124" spans="8:9" ht="14.25" customHeight="1" x14ac:dyDescent="0.15">
      <c r="H124" s="28"/>
      <c r="I124" s="28"/>
    </row>
    <row r="125" spans="8:9" ht="14.25" customHeight="1" x14ac:dyDescent="0.15">
      <c r="H125" s="28"/>
      <c r="I125" s="28"/>
    </row>
    <row r="126" spans="8:9" ht="14.25" customHeight="1" x14ac:dyDescent="0.15">
      <c r="H126" s="28"/>
      <c r="I126" s="28"/>
    </row>
    <row r="127" spans="8:9" ht="14.25" customHeight="1" x14ac:dyDescent="0.15">
      <c r="H127" s="28"/>
      <c r="I127" s="28"/>
    </row>
    <row r="128" spans="8:9" ht="14.25" customHeight="1" x14ac:dyDescent="0.15">
      <c r="H128" s="28"/>
      <c r="I128" s="28"/>
    </row>
    <row r="129" spans="8:9" ht="14.25" customHeight="1" x14ac:dyDescent="0.15">
      <c r="H129" s="28"/>
      <c r="I129" s="28"/>
    </row>
    <row r="130" spans="8:9" ht="14.25" customHeight="1" x14ac:dyDescent="0.15">
      <c r="H130" s="28"/>
      <c r="I130" s="28"/>
    </row>
    <row r="131" spans="8:9" ht="14.25" customHeight="1" x14ac:dyDescent="0.15">
      <c r="H131" s="28"/>
      <c r="I131" s="28"/>
    </row>
    <row r="132" spans="8:9" ht="14.25" customHeight="1" x14ac:dyDescent="0.15">
      <c r="H132" s="28"/>
      <c r="I132" s="28"/>
    </row>
    <row r="133" spans="8:9" ht="14.25" customHeight="1" x14ac:dyDescent="0.15">
      <c r="H133" s="28"/>
      <c r="I133" s="28"/>
    </row>
    <row r="134" spans="8:9" ht="14.25" customHeight="1" x14ac:dyDescent="0.15">
      <c r="H134" s="28"/>
      <c r="I134" s="28"/>
    </row>
    <row r="135" spans="8:9" ht="14.25" customHeight="1" x14ac:dyDescent="0.15">
      <c r="H135" s="28"/>
      <c r="I135" s="28"/>
    </row>
    <row r="136" spans="8:9" ht="14.25" customHeight="1" x14ac:dyDescent="0.15">
      <c r="H136" s="28"/>
      <c r="I136" s="28"/>
    </row>
    <row r="137" spans="8:9" ht="14.25" customHeight="1" x14ac:dyDescent="0.15">
      <c r="H137" s="28"/>
      <c r="I137" s="28"/>
    </row>
    <row r="138" spans="8:9" ht="14.25" customHeight="1" x14ac:dyDescent="0.15">
      <c r="H138" s="28"/>
      <c r="I138" s="28"/>
    </row>
    <row r="139" spans="8:9" ht="14.25" customHeight="1" x14ac:dyDescent="0.15">
      <c r="H139" s="28"/>
      <c r="I139" s="28"/>
    </row>
    <row r="140" spans="8:9" ht="14.25" customHeight="1" x14ac:dyDescent="0.15">
      <c r="H140" s="28"/>
      <c r="I140" s="28"/>
    </row>
    <row r="141" spans="8:9" ht="14.25" customHeight="1" x14ac:dyDescent="0.15">
      <c r="H141" s="28"/>
      <c r="I141" s="28"/>
    </row>
    <row r="142" spans="8:9" ht="14.25" customHeight="1" x14ac:dyDescent="0.15">
      <c r="H142" s="28"/>
      <c r="I142" s="28"/>
    </row>
    <row r="143" spans="8:9" ht="14.25" customHeight="1" x14ac:dyDescent="0.15">
      <c r="H143" s="28"/>
      <c r="I143" s="28"/>
    </row>
    <row r="144" spans="8:9" ht="14.25" customHeight="1" x14ac:dyDescent="0.15">
      <c r="H144" s="28"/>
      <c r="I144" s="28"/>
    </row>
    <row r="145" spans="8:9" ht="14.25" customHeight="1" x14ac:dyDescent="0.15">
      <c r="H145" s="28"/>
      <c r="I145" s="28"/>
    </row>
    <row r="146" spans="8:9" ht="14.25" customHeight="1" x14ac:dyDescent="0.15">
      <c r="H146" s="28"/>
      <c r="I146" s="28"/>
    </row>
    <row r="147" spans="8:9" ht="14.25" customHeight="1" x14ac:dyDescent="0.15">
      <c r="H147" s="28"/>
      <c r="I147" s="28"/>
    </row>
    <row r="148" spans="8:9" ht="14.25" customHeight="1" x14ac:dyDescent="0.15">
      <c r="H148" s="28"/>
      <c r="I148" s="28"/>
    </row>
    <row r="149" spans="8:9" ht="14.25" customHeight="1" x14ac:dyDescent="0.15">
      <c r="H149" s="28"/>
      <c r="I149" s="28"/>
    </row>
    <row r="150" spans="8:9" ht="14.25" customHeight="1" x14ac:dyDescent="0.15">
      <c r="H150" s="28"/>
      <c r="I150" s="28"/>
    </row>
    <row r="151" spans="8:9" ht="14.25" customHeight="1" x14ac:dyDescent="0.15">
      <c r="H151" s="28"/>
      <c r="I151" s="28"/>
    </row>
    <row r="152" spans="8:9" ht="14.25" customHeight="1" x14ac:dyDescent="0.15">
      <c r="H152" s="28"/>
      <c r="I152" s="28"/>
    </row>
    <row r="153" spans="8:9" ht="14.25" customHeight="1" x14ac:dyDescent="0.15">
      <c r="H153" s="28"/>
      <c r="I153" s="28"/>
    </row>
    <row r="154" spans="8:9" ht="14.25" customHeight="1" x14ac:dyDescent="0.15">
      <c r="H154" s="28"/>
      <c r="I154" s="28"/>
    </row>
    <row r="155" spans="8:9" ht="14.25" customHeight="1" x14ac:dyDescent="0.15">
      <c r="H155" s="28"/>
      <c r="I155" s="28"/>
    </row>
    <row r="156" spans="8:9" ht="14.25" customHeight="1" x14ac:dyDescent="0.15">
      <c r="H156" s="28"/>
      <c r="I156" s="28"/>
    </row>
    <row r="157" spans="8:9" ht="14.25" customHeight="1" x14ac:dyDescent="0.15">
      <c r="H157" s="28"/>
      <c r="I157" s="28"/>
    </row>
    <row r="158" spans="8:9" ht="14.25" customHeight="1" x14ac:dyDescent="0.15">
      <c r="H158" s="28"/>
      <c r="I158" s="28"/>
    </row>
    <row r="159" spans="8:9" ht="14.25" customHeight="1" x14ac:dyDescent="0.15">
      <c r="H159" s="28"/>
      <c r="I159" s="28"/>
    </row>
    <row r="160" spans="8:9" ht="14.25" customHeight="1" x14ac:dyDescent="0.15">
      <c r="H160" s="28"/>
      <c r="I160" s="28"/>
    </row>
    <row r="161" spans="8:9" ht="14.25" customHeight="1" x14ac:dyDescent="0.15">
      <c r="H161" s="28"/>
      <c r="I161" s="28"/>
    </row>
    <row r="162" spans="8:9" ht="14.25" customHeight="1" x14ac:dyDescent="0.15">
      <c r="H162" s="28"/>
      <c r="I162" s="28"/>
    </row>
    <row r="163" spans="8:9" ht="14.25" customHeight="1" x14ac:dyDescent="0.15">
      <c r="H163" s="28"/>
      <c r="I163" s="28"/>
    </row>
    <row r="164" spans="8:9" ht="14.25" customHeight="1" x14ac:dyDescent="0.15">
      <c r="H164" s="28"/>
      <c r="I164" s="28"/>
    </row>
    <row r="165" spans="8:9" ht="14.25" customHeight="1" x14ac:dyDescent="0.15">
      <c r="H165" s="28"/>
      <c r="I165" s="28"/>
    </row>
    <row r="166" spans="8:9" ht="14.25" customHeight="1" x14ac:dyDescent="0.15">
      <c r="H166" s="28"/>
      <c r="I166" s="28"/>
    </row>
    <row r="167" spans="8:9" ht="14.25" customHeight="1" x14ac:dyDescent="0.15">
      <c r="H167" s="28"/>
      <c r="I167" s="28"/>
    </row>
    <row r="168" spans="8:9" ht="14.25" customHeight="1" x14ac:dyDescent="0.15">
      <c r="H168" s="28"/>
      <c r="I168" s="28"/>
    </row>
    <row r="169" spans="8:9" ht="14.25" customHeight="1" x14ac:dyDescent="0.15">
      <c r="H169" s="28"/>
      <c r="I169" s="28"/>
    </row>
    <row r="170" spans="8:9" ht="14.25" customHeight="1" x14ac:dyDescent="0.15">
      <c r="H170" s="28"/>
      <c r="I170" s="28"/>
    </row>
    <row r="171" spans="8:9" ht="14.25" customHeight="1" x14ac:dyDescent="0.15">
      <c r="H171" s="28"/>
      <c r="I171" s="28"/>
    </row>
    <row r="172" spans="8:9" ht="14.25" customHeight="1" x14ac:dyDescent="0.15">
      <c r="H172" s="28"/>
      <c r="I172" s="28"/>
    </row>
    <row r="173" spans="8:9" ht="14.25" customHeight="1" x14ac:dyDescent="0.15">
      <c r="H173" s="28"/>
      <c r="I173" s="28"/>
    </row>
    <row r="174" spans="8:9" ht="14.25" customHeight="1" x14ac:dyDescent="0.15">
      <c r="H174" s="28"/>
      <c r="I174" s="28"/>
    </row>
    <row r="175" spans="8:9" ht="14.25" customHeight="1" x14ac:dyDescent="0.15">
      <c r="H175" s="28"/>
      <c r="I175" s="28"/>
    </row>
    <row r="176" spans="8:9" ht="14.25" customHeight="1" x14ac:dyDescent="0.15">
      <c r="H176" s="28"/>
      <c r="I176" s="28"/>
    </row>
    <row r="177" spans="8:9" ht="14.25" customHeight="1" x14ac:dyDescent="0.15">
      <c r="H177" s="28"/>
      <c r="I177" s="28"/>
    </row>
    <row r="178" spans="8:9" ht="14.25" customHeight="1" x14ac:dyDescent="0.15">
      <c r="H178" s="28"/>
      <c r="I178" s="28"/>
    </row>
    <row r="179" spans="8:9" ht="14.25" customHeight="1" x14ac:dyDescent="0.15">
      <c r="H179" s="28"/>
      <c r="I179" s="28"/>
    </row>
    <row r="180" spans="8:9" ht="14.25" customHeight="1" x14ac:dyDescent="0.15">
      <c r="H180" s="28"/>
      <c r="I180" s="28"/>
    </row>
    <row r="181" spans="8:9" ht="14.25" customHeight="1" x14ac:dyDescent="0.15">
      <c r="H181" s="28"/>
      <c r="I181" s="28"/>
    </row>
    <row r="182" spans="8:9" ht="14.25" customHeight="1" x14ac:dyDescent="0.15">
      <c r="H182" s="28"/>
      <c r="I182" s="28"/>
    </row>
    <row r="183" spans="8:9" ht="14.25" customHeight="1" x14ac:dyDescent="0.15">
      <c r="H183" s="28"/>
      <c r="I183" s="28"/>
    </row>
    <row r="184" spans="8:9" ht="14.25" customHeight="1" x14ac:dyDescent="0.15">
      <c r="H184" s="28"/>
      <c r="I184" s="28"/>
    </row>
    <row r="185" spans="8:9" ht="14.25" customHeight="1" x14ac:dyDescent="0.15">
      <c r="H185" s="28"/>
      <c r="I185" s="28"/>
    </row>
    <row r="186" spans="8:9" ht="14.25" customHeight="1" x14ac:dyDescent="0.15">
      <c r="H186" s="28"/>
      <c r="I186" s="28"/>
    </row>
    <row r="187" spans="8:9" ht="14.25" customHeight="1" x14ac:dyDescent="0.15">
      <c r="H187" s="28"/>
      <c r="I187" s="28"/>
    </row>
    <row r="188" spans="8:9" ht="14.25" customHeight="1" x14ac:dyDescent="0.15">
      <c r="H188" s="28"/>
      <c r="I188" s="28"/>
    </row>
    <row r="189" spans="8:9" ht="14.25" customHeight="1" x14ac:dyDescent="0.15">
      <c r="H189" s="28"/>
      <c r="I189" s="28"/>
    </row>
    <row r="190" spans="8:9" ht="14.25" customHeight="1" x14ac:dyDescent="0.15">
      <c r="H190" s="28"/>
      <c r="I190" s="28"/>
    </row>
    <row r="191" spans="8:9" ht="14.25" customHeight="1" x14ac:dyDescent="0.15">
      <c r="H191" s="28"/>
      <c r="I191" s="28"/>
    </row>
    <row r="192" spans="8:9" ht="14.25" customHeight="1" x14ac:dyDescent="0.15">
      <c r="H192" s="28"/>
      <c r="I192" s="28"/>
    </row>
    <row r="193" spans="8:9" ht="14.25" customHeight="1" x14ac:dyDescent="0.15">
      <c r="H193" s="28"/>
      <c r="I193" s="28"/>
    </row>
    <row r="194" spans="8:9" ht="14.25" customHeight="1" x14ac:dyDescent="0.15">
      <c r="H194" s="28"/>
      <c r="I194" s="28"/>
    </row>
    <row r="195" spans="8:9" ht="14.25" customHeight="1" x14ac:dyDescent="0.15">
      <c r="H195" s="28"/>
      <c r="I195" s="28"/>
    </row>
    <row r="196" spans="8:9" ht="14.25" customHeight="1" x14ac:dyDescent="0.15">
      <c r="H196" s="28"/>
      <c r="I196" s="28"/>
    </row>
    <row r="197" spans="8:9" ht="14.25" customHeight="1" x14ac:dyDescent="0.15">
      <c r="H197" s="28"/>
      <c r="I197" s="28"/>
    </row>
    <row r="198" spans="8:9" ht="14.25" customHeight="1" x14ac:dyDescent="0.15">
      <c r="H198" s="28"/>
      <c r="I198" s="28"/>
    </row>
    <row r="199" spans="8:9" ht="14.25" customHeight="1" x14ac:dyDescent="0.15">
      <c r="H199" s="28"/>
      <c r="I199" s="28"/>
    </row>
    <row r="200" spans="8:9" ht="14.25" customHeight="1" x14ac:dyDescent="0.15">
      <c r="H200" s="28"/>
      <c r="I200" s="28"/>
    </row>
    <row r="201" spans="8:9" ht="14.25" customHeight="1" x14ac:dyDescent="0.15">
      <c r="H201" s="28"/>
      <c r="I201" s="28"/>
    </row>
    <row r="202" spans="8:9" ht="14.25" customHeight="1" x14ac:dyDescent="0.15">
      <c r="H202" s="28"/>
      <c r="I202" s="28"/>
    </row>
    <row r="203" spans="8:9" ht="14.25" customHeight="1" x14ac:dyDescent="0.15">
      <c r="H203" s="28"/>
      <c r="I203" s="28"/>
    </row>
    <row r="204" spans="8:9" ht="14.25" customHeight="1" x14ac:dyDescent="0.15">
      <c r="H204" s="28"/>
      <c r="I204" s="28"/>
    </row>
    <row r="205" spans="8:9" ht="14.25" customHeight="1" x14ac:dyDescent="0.15">
      <c r="H205" s="28"/>
      <c r="I205" s="28"/>
    </row>
    <row r="206" spans="8:9" ht="14.25" customHeight="1" x14ac:dyDescent="0.15">
      <c r="H206" s="28"/>
      <c r="I206" s="28"/>
    </row>
    <row r="207" spans="8:9" ht="14.25" customHeight="1" x14ac:dyDescent="0.15">
      <c r="H207" s="28"/>
      <c r="I207" s="28"/>
    </row>
    <row r="208" spans="8:9" ht="14.25" customHeight="1" x14ac:dyDescent="0.15">
      <c r="H208" s="28"/>
      <c r="I208" s="28"/>
    </row>
    <row r="209" spans="8:9" ht="14.25" customHeight="1" x14ac:dyDescent="0.15">
      <c r="H209" s="28"/>
      <c r="I209" s="28"/>
    </row>
    <row r="210" spans="8:9" ht="14.25" customHeight="1" x14ac:dyDescent="0.15">
      <c r="H210" s="28"/>
      <c r="I210" s="28"/>
    </row>
    <row r="211" spans="8:9" ht="14.25" customHeight="1" x14ac:dyDescent="0.15">
      <c r="H211" s="28"/>
      <c r="I211" s="28"/>
    </row>
    <row r="212" spans="8:9" ht="14.25" customHeight="1" x14ac:dyDescent="0.15">
      <c r="H212" s="28"/>
      <c r="I212" s="28"/>
    </row>
    <row r="213" spans="8:9" ht="14.25" customHeight="1" x14ac:dyDescent="0.15">
      <c r="H213" s="28"/>
      <c r="I213" s="28"/>
    </row>
    <row r="214" spans="8:9" ht="14.25" customHeight="1" x14ac:dyDescent="0.15">
      <c r="H214" s="28"/>
      <c r="I214" s="28"/>
    </row>
    <row r="215" spans="8:9" ht="14.25" customHeight="1" x14ac:dyDescent="0.15">
      <c r="H215" s="28"/>
      <c r="I215" s="28"/>
    </row>
    <row r="216" spans="8:9" ht="14.25" customHeight="1" x14ac:dyDescent="0.15">
      <c r="H216" s="28"/>
      <c r="I216" s="28"/>
    </row>
    <row r="217" spans="8:9" ht="14.25" customHeight="1" x14ac:dyDescent="0.15">
      <c r="H217" s="28"/>
      <c r="I217" s="28"/>
    </row>
    <row r="218" spans="8:9" ht="14.25" customHeight="1" x14ac:dyDescent="0.15">
      <c r="H218" s="28"/>
      <c r="I218" s="28"/>
    </row>
    <row r="219" spans="8:9" ht="14.25" customHeight="1" x14ac:dyDescent="0.15">
      <c r="H219" s="28"/>
      <c r="I219" s="28"/>
    </row>
    <row r="220" spans="8:9" ht="14.25" customHeight="1" x14ac:dyDescent="0.15">
      <c r="H220" s="28"/>
      <c r="I220" s="28"/>
    </row>
    <row r="221" spans="8:9" ht="15.75" customHeight="1" x14ac:dyDescent="0.15">
      <c r="H221" s="30"/>
      <c r="I221" s="30"/>
    </row>
    <row r="222" spans="8:9" ht="15.75" customHeight="1" x14ac:dyDescent="0.15">
      <c r="H222" s="30"/>
      <c r="I222" s="30"/>
    </row>
    <row r="223" spans="8:9" ht="15.75" customHeight="1" x14ac:dyDescent="0.15">
      <c r="H223" s="30"/>
      <c r="I223" s="30"/>
    </row>
    <row r="224" spans="8:9" ht="15.75" customHeight="1" x14ac:dyDescent="0.15">
      <c r="H224" s="30"/>
      <c r="I224" s="30"/>
    </row>
    <row r="225" spans="8:9" ht="15.75" customHeight="1" x14ac:dyDescent="0.15">
      <c r="H225" s="30"/>
      <c r="I225" s="30"/>
    </row>
    <row r="226" spans="8:9" ht="15.75" customHeight="1" x14ac:dyDescent="0.15">
      <c r="H226" s="30"/>
      <c r="I226" s="30"/>
    </row>
    <row r="227" spans="8:9" ht="15.75" customHeight="1" x14ac:dyDescent="0.15">
      <c r="H227" s="30"/>
      <c r="I227" s="30"/>
    </row>
    <row r="228" spans="8:9" ht="15.75" customHeight="1" x14ac:dyDescent="0.15">
      <c r="H228" s="30"/>
      <c r="I228" s="30"/>
    </row>
    <row r="229" spans="8:9" ht="15.75" customHeight="1" x14ac:dyDescent="0.15">
      <c r="H229" s="30"/>
      <c r="I229" s="30"/>
    </row>
    <row r="230" spans="8:9" ht="15.75" customHeight="1" x14ac:dyDescent="0.15">
      <c r="H230" s="30"/>
      <c r="I230" s="30"/>
    </row>
    <row r="231" spans="8:9" ht="15.75" customHeight="1" x14ac:dyDescent="0.15">
      <c r="H231" s="30"/>
      <c r="I231" s="30"/>
    </row>
    <row r="232" spans="8:9" ht="15.75" customHeight="1" x14ac:dyDescent="0.15">
      <c r="H232" s="30"/>
      <c r="I232" s="30"/>
    </row>
    <row r="233" spans="8:9" ht="15.75" customHeight="1" x14ac:dyDescent="0.15">
      <c r="H233" s="30"/>
      <c r="I233" s="30"/>
    </row>
    <row r="234" spans="8:9" ht="15.75" customHeight="1" x14ac:dyDescent="0.15">
      <c r="H234" s="30"/>
      <c r="I234" s="30"/>
    </row>
    <row r="235" spans="8:9" ht="15.75" customHeight="1" x14ac:dyDescent="0.15">
      <c r="H235" s="30"/>
      <c r="I235" s="30"/>
    </row>
    <row r="236" spans="8:9" ht="15.75" customHeight="1" x14ac:dyDescent="0.15">
      <c r="H236" s="30"/>
      <c r="I236" s="30"/>
    </row>
    <row r="237" spans="8:9" ht="15.75" customHeight="1" x14ac:dyDescent="0.15">
      <c r="H237" s="30"/>
      <c r="I237" s="30"/>
    </row>
    <row r="238" spans="8:9" ht="15.75" customHeight="1" x14ac:dyDescent="0.15">
      <c r="H238" s="30"/>
      <c r="I238" s="30"/>
    </row>
    <row r="239" spans="8:9" ht="15.75" customHeight="1" x14ac:dyDescent="0.15">
      <c r="H239" s="30"/>
      <c r="I239" s="30"/>
    </row>
    <row r="240" spans="8:9" ht="15.75" customHeight="1" x14ac:dyDescent="0.15">
      <c r="H240" s="30"/>
      <c r="I240" s="30"/>
    </row>
    <row r="241" spans="8:9" ht="15.75" customHeight="1" x14ac:dyDescent="0.15">
      <c r="H241" s="30"/>
      <c r="I241" s="30"/>
    </row>
    <row r="242" spans="8:9" ht="15.75" customHeight="1" x14ac:dyDescent="0.15">
      <c r="H242" s="30"/>
      <c r="I242" s="30"/>
    </row>
    <row r="243" spans="8:9" ht="15.75" customHeight="1" x14ac:dyDescent="0.15">
      <c r="H243" s="30"/>
      <c r="I243" s="30"/>
    </row>
    <row r="244" spans="8:9" ht="15.75" customHeight="1" x14ac:dyDescent="0.15">
      <c r="H244" s="30"/>
      <c r="I244" s="30"/>
    </row>
    <row r="245" spans="8:9" ht="15.75" customHeight="1" x14ac:dyDescent="0.15">
      <c r="H245" s="30"/>
      <c r="I245" s="30"/>
    </row>
    <row r="246" spans="8:9" ht="15.75" customHeight="1" x14ac:dyDescent="0.15">
      <c r="H246" s="30"/>
      <c r="I246" s="30"/>
    </row>
    <row r="247" spans="8:9" ht="15.75" customHeight="1" x14ac:dyDescent="0.15">
      <c r="H247" s="30"/>
      <c r="I247" s="30"/>
    </row>
    <row r="248" spans="8:9" ht="15.75" customHeight="1" x14ac:dyDescent="0.15">
      <c r="H248" s="30"/>
      <c r="I248" s="30"/>
    </row>
    <row r="249" spans="8:9" ht="15.75" customHeight="1" x14ac:dyDescent="0.15">
      <c r="H249" s="30"/>
      <c r="I249" s="30"/>
    </row>
    <row r="250" spans="8:9" ht="15.75" customHeight="1" x14ac:dyDescent="0.15">
      <c r="H250" s="30"/>
      <c r="I250" s="30"/>
    </row>
    <row r="251" spans="8:9" ht="15.75" customHeight="1" x14ac:dyDescent="0.15">
      <c r="H251" s="30"/>
      <c r="I251" s="30"/>
    </row>
    <row r="252" spans="8:9" ht="15.75" customHeight="1" x14ac:dyDescent="0.15">
      <c r="H252" s="30"/>
      <c r="I252" s="30"/>
    </row>
    <row r="253" spans="8:9" ht="15.75" customHeight="1" x14ac:dyDescent="0.15">
      <c r="H253" s="30"/>
      <c r="I253" s="30"/>
    </row>
    <row r="254" spans="8:9" ht="15.75" customHeight="1" x14ac:dyDescent="0.15">
      <c r="H254" s="30"/>
      <c r="I254" s="30"/>
    </row>
    <row r="255" spans="8:9" ht="15.75" customHeight="1" x14ac:dyDescent="0.15">
      <c r="H255" s="30"/>
      <c r="I255" s="30"/>
    </row>
    <row r="256" spans="8:9" ht="15.75" customHeight="1" x14ac:dyDescent="0.15">
      <c r="H256" s="30"/>
      <c r="I256" s="30"/>
    </row>
    <row r="257" spans="8:9" ht="15.75" customHeight="1" x14ac:dyDescent="0.15">
      <c r="H257" s="30"/>
      <c r="I257" s="30"/>
    </row>
    <row r="258" spans="8:9" ht="15.75" customHeight="1" x14ac:dyDescent="0.15">
      <c r="H258" s="30"/>
      <c r="I258" s="30"/>
    </row>
    <row r="259" spans="8:9" ht="15.75" customHeight="1" x14ac:dyDescent="0.15">
      <c r="H259" s="30"/>
      <c r="I259" s="30"/>
    </row>
    <row r="260" spans="8:9" ht="15.75" customHeight="1" x14ac:dyDescent="0.15">
      <c r="H260" s="30"/>
      <c r="I260" s="30"/>
    </row>
    <row r="261" spans="8:9" ht="15.75" customHeight="1" x14ac:dyDescent="0.15">
      <c r="H261" s="30"/>
      <c r="I261" s="30"/>
    </row>
    <row r="262" spans="8:9" ht="15.75" customHeight="1" x14ac:dyDescent="0.15">
      <c r="H262" s="30"/>
      <c r="I262" s="30"/>
    </row>
    <row r="263" spans="8:9" ht="15.75" customHeight="1" x14ac:dyDescent="0.15">
      <c r="H263" s="30"/>
      <c r="I263" s="30"/>
    </row>
    <row r="264" spans="8:9" ht="15.75" customHeight="1" x14ac:dyDescent="0.15">
      <c r="H264" s="30"/>
      <c r="I264" s="30"/>
    </row>
    <row r="265" spans="8:9" ht="15.75" customHeight="1" x14ac:dyDescent="0.15">
      <c r="H265" s="30"/>
      <c r="I265" s="30"/>
    </row>
    <row r="266" spans="8:9" ht="15.75" customHeight="1" x14ac:dyDescent="0.15">
      <c r="H266" s="30"/>
      <c r="I266" s="30"/>
    </row>
    <row r="267" spans="8:9" ht="15.75" customHeight="1" x14ac:dyDescent="0.15">
      <c r="H267" s="30"/>
      <c r="I267" s="30"/>
    </row>
    <row r="268" spans="8:9" ht="15.75" customHeight="1" x14ac:dyDescent="0.15">
      <c r="H268" s="30"/>
      <c r="I268" s="30"/>
    </row>
    <row r="269" spans="8:9" ht="15.75" customHeight="1" x14ac:dyDescent="0.15">
      <c r="H269" s="30"/>
      <c r="I269" s="30"/>
    </row>
    <row r="270" spans="8:9" ht="15.75" customHeight="1" x14ac:dyDescent="0.15">
      <c r="H270" s="30"/>
      <c r="I270" s="30"/>
    </row>
    <row r="271" spans="8:9" ht="15.75" customHeight="1" x14ac:dyDescent="0.15">
      <c r="H271" s="30"/>
      <c r="I271" s="30"/>
    </row>
    <row r="272" spans="8:9" ht="15.75" customHeight="1" x14ac:dyDescent="0.15">
      <c r="H272" s="30"/>
      <c r="I272" s="30"/>
    </row>
    <row r="273" spans="8:9" ht="15.75" customHeight="1" x14ac:dyDescent="0.15">
      <c r="H273" s="30"/>
      <c r="I273" s="30"/>
    </row>
    <row r="274" spans="8:9" ht="15.75" customHeight="1" x14ac:dyDescent="0.15">
      <c r="H274" s="30"/>
      <c r="I274" s="30"/>
    </row>
    <row r="275" spans="8:9" ht="15.75" customHeight="1" x14ac:dyDescent="0.15">
      <c r="H275" s="30"/>
      <c r="I275" s="30"/>
    </row>
    <row r="276" spans="8:9" ht="15.75" customHeight="1" x14ac:dyDescent="0.15">
      <c r="H276" s="30"/>
      <c r="I276" s="30"/>
    </row>
    <row r="277" spans="8:9" ht="15.75" customHeight="1" x14ac:dyDescent="0.15">
      <c r="H277" s="30"/>
      <c r="I277" s="30"/>
    </row>
    <row r="278" spans="8:9" ht="15.75" customHeight="1" x14ac:dyDescent="0.15">
      <c r="H278" s="30"/>
      <c r="I278" s="30"/>
    </row>
    <row r="279" spans="8:9" ht="15.75" customHeight="1" x14ac:dyDescent="0.15">
      <c r="H279" s="30"/>
      <c r="I279" s="30"/>
    </row>
    <row r="280" spans="8:9" ht="15.75" customHeight="1" x14ac:dyDescent="0.15">
      <c r="H280" s="30"/>
      <c r="I280" s="30"/>
    </row>
    <row r="281" spans="8:9" ht="15.75" customHeight="1" x14ac:dyDescent="0.15">
      <c r="H281" s="30"/>
      <c r="I281" s="30"/>
    </row>
    <row r="282" spans="8:9" ht="15.75" customHeight="1" x14ac:dyDescent="0.15">
      <c r="H282" s="30"/>
      <c r="I282" s="30"/>
    </row>
    <row r="283" spans="8:9" ht="15.75" customHeight="1" x14ac:dyDescent="0.15">
      <c r="H283" s="30"/>
      <c r="I283" s="30"/>
    </row>
    <row r="284" spans="8:9" ht="15.75" customHeight="1" x14ac:dyDescent="0.15">
      <c r="H284" s="30"/>
      <c r="I284" s="30"/>
    </row>
    <row r="285" spans="8:9" ht="15.75" customHeight="1" x14ac:dyDescent="0.15">
      <c r="H285" s="30"/>
      <c r="I285" s="30"/>
    </row>
    <row r="286" spans="8:9" ht="15.75" customHeight="1" x14ac:dyDescent="0.15">
      <c r="H286" s="30"/>
      <c r="I286" s="30"/>
    </row>
    <row r="287" spans="8:9" ht="15.75" customHeight="1" x14ac:dyDescent="0.15">
      <c r="H287" s="30"/>
      <c r="I287" s="30"/>
    </row>
    <row r="288" spans="8:9" ht="15.75" customHeight="1" x14ac:dyDescent="0.15">
      <c r="H288" s="30"/>
      <c r="I288" s="30"/>
    </row>
    <row r="289" spans="8:9" ht="15.75" customHeight="1" x14ac:dyDescent="0.15">
      <c r="H289" s="30"/>
      <c r="I289" s="30"/>
    </row>
    <row r="290" spans="8:9" ht="15.75" customHeight="1" x14ac:dyDescent="0.15">
      <c r="H290" s="30"/>
      <c r="I290" s="30"/>
    </row>
    <row r="291" spans="8:9" ht="15.75" customHeight="1" x14ac:dyDescent="0.15">
      <c r="H291" s="30"/>
      <c r="I291" s="30"/>
    </row>
    <row r="292" spans="8:9" ht="15.75" customHeight="1" x14ac:dyDescent="0.15">
      <c r="H292" s="30"/>
      <c r="I292" s="30"/>
    </row>
    <row r="293" spans="8:9" ht="15.75" customHeight="1" x14ac:dyDescent="0.15">
      <c r="H293" s="30"/>
      <c r="I293" s="30"/>
    </row>
    <row r="294" spans="8:9" ht="15.75" customHeight="1" x14ac:dyDescent="0.15">
      <c r="H294" s="30"/>
      <c r="I294" s="30"/>
    </row>
    <row r="295" spans="8:9" ht="15.75" customHeight="1" x14ac:dyDescent="0.15">
      <c r="H295" s="30"/>
      <c r="I295" s="30"/>
    </row>
    <row r="296" spans="8:9" ht="15.75" customHeight="1" x14ac:dyDescent="0.15">
      <c r="H296" s="30"/>
      <c r="I296" s="30"/>
    </row>
    <row r="297" spans="8:9" ht="15.75" customHeight="1" x14ac:dyDescent="0.15">
      <c r="H297" s="30"/>
      <c r="I297" s="30"/>
    </row>
    <row r="298" spans="8:9" ht="15.75" customHeight="1" x14ac:dyDescent="0.15">
      <c r="H298" s="30"/>
      <c r="I298" s="30"/>
    </row>
    <row r="299" spans="8:9" ht="15.75" customHeight="1" x14ac:dyDescent="0.15">
      <c r="H299" s="30"/>
      <c r="I299" s="30"/>
    </row>
    <row r="300" spans="8:9" ht="15.75" customHeight="1" x14ac:dyDescent="0.15">
      <c r="H300" s="30"/>
      <c r="I300" s="30"/>
    </row>
    <row r="301" spans="8:9" ht="15.75" customHeight="1" x14ac:dyDescent="0.15">
      <c r="H301" s="30"/>
      <c r="I301" s="30"/>
    </row>
    <row r="302" spans="8:9" ht="15.75" customHeight="1" x14ac:dyDescent="0.15">
      <c r="H302" s="30"/>
      <c r="I302" s="30"/>
    </row>
    <row r="303" spans="8:9" ht="15.75" customHeight="1" x14ac:dyDescent="0.15">
      <c r="H303" s="30"/>
      <c r="I303" s="30"/>
    </row>
    <row r="304" spans="8:9" ht="15.75" customHeight="1" x14ac:dyDescent="0.15">
      <c r="H304" s="30"/>
      <c r="I304" s="30"/>
    </row>
    <row r="305" spans="8:9" ht="15.75" customHeight="1" x14ac:dyDescent="0.15">
      <c r="H305" s="30"/>
      <c r="I305" s="30"/>
    </row>
    <row r="306" spans="8:9" ht="15.75" customHeight="1" x14ac:dyDescent="0.15">
      <c r="H306" s="30"/>
      <c r="I306" s="30"/>
    </row>
    <row r="307" spans="8:9" ht="15.75" customHeight="1" x14ac:dyDescent="0.15">
      <c r="H307" s="30"/>
      <c r="I307" s="30"/>
    </row>
    <row r="308" spans="8:9" ht="15.75" customHeight="1" x14ac:dyDescent="0.15">
      <c r="H308" s="30"/>
      <c r="I308" s="30"/>
    </row>
    <row r="309" spans="8:9" ht="15.75" customHeight="1" x14ac:dyDescent="0.15">
      <c r="H309" s="30"/>
      <c r="I309" s="30"/>
    </row>
    <row r="310" spans="8:9" ht="15.75" customHeight="1" x14ac:dyDescent="0.15">
      <c r="H310" s="30"/>
      <c r="I310" s="30"/>
    </row>
    <row r="311" spans="8:9" ht="15.75" customHeight="1" x14ac:dyDescent="0.15">
      <c r="H311" s="30"/>
      <c r="I311" s="30"/>
    </row>
    <row r="312" spans="8:9" ht="15.75" customHeight="1" x14ac:dyDescent="0.15">
      <c r="H312" s="30"/>
      <c r="I312" s="30"/>
    </row>
    <row r="313" spans="8:9" ht="15.75" customHeight="1" x14ac:dyDescent="0.15">
      <c r="H313" s="30"/>
      <c r="I313" s="30"/>
    </row>
    <row r="314" spans="8:9" ht="15.75" customHeight="1" x14ac:dyDescent="0.15">
      <c r="H314" s="30"/>
      <c r="I314" s="30"/>
    </row>
    <row r="315" spans="8:9" ht="15.75" customHeight="1" x14ac:dyDescent="0.15">
      <c r="H315" s="30"/>
      <c r="I315" s="30"/>
    </row>
    <row r="316" spans="8:9" ht="15.75" customHeight="1" x14ac:dyDescent="0.15">
      <c r="H316" s="30"/>
      <c r="I316" s="30"/>
    </row>
    <row r="317" spans="8:9" ht="15.75" customHeight="1" x14ac:dyDescent="0.15">
      <c r="H317" s="30"/>
      <c r="I317" s="30"/>
    </row>
    <row r="318" spans="8:9" ht="15.75" customHeight="1" x14ac:dyDescent="0.15">
      <c r="H318" s="30"/>
      <c r="I318" s="30"/>
    </row>
    <row r="319" spans="8:9" ht="15.75" customHeight="1" x14ac:dyDescent="0.15">
      <c r="H319" s="30"/>
      <c r="I319" s="30"/>
    </row>
    <row r="320" spans="8:9" ht="15.75" customHeight="1" x14ac:dyDescent="0.15">
      <c r="H320" s="30"/>
      <c r="I320" s="30"/>
    </row>
    <row r="321" spans="8:9" ht="15.75" customHeight="1" x14ac:dyDescent="0.15">
      <c r="H321" s="30"/>
      <c r="I321" s="30"/>
    </row>
    <row r="322" spans="8:9" ht="15.75" customHeight="1" x14ac:dyDescent="0.15">
      <c r="H322" s="30"/>
      <c r="I322" s="30"/>
    </row>
    <row r="323" spans="8:9" ht="15.75" customHeight="1" x14ac:dyDescent="0.15">
      <c r="H323" s="30"/>
      <c r="I323" s="30"/>
    </row>
    <row r="324" spans="8:9" ht="15.75" customHeight="1" x14ac:dyDescent="0.15">
      <c r="H324" s="30"/>
      <c r="I324" s="30"/>
    </row>
    <row r="325" spans="8:9" ht="15.75" customHeight="1" x14ac:dyDescent="0.15">
      <c r="H325" s="30"/>
      <c r="I325" s="30"/>
    </row>
    <row r="326" spans="8:9" ht="15.75" customHeight="1" x14ac:dyDescent="0.15">
      <c r="H326" s="30"/>
      <c r="I326" s="30"/>
    </row>
    <row r="327" spans="8:9" ht="15.75" customHeight="1" x14ac:dyDescent="0.15">
      <c r="H327" s="30"/>
      <c r="I327" s="30"/>
    </row>
    <row r="328" spans="8:9" ht="15.75" customHeight="1" x14ac:dyDescent="0.15">
      <c r="H328" s="30"/>
      <c r="I328" s="30"/>
    </row>
    <row r="329" spans="8:9" ht="15.75" customHeight="1" x14ac:dyDescent="0.15">
      <c r="H329" s="30"/>
      <c r="I329" s="30"/>
    </row>
    <row r="330" spans="8:9" ht="15.75" customHeight="1" x14ac:dyDescent="0.15">
      <c r="H330" s="30"/>
      <c r="I330" s="30"/>
    </row>
    <row r="331" spans="8:9" ht="15.75" customHeight="1" x14ac:dyDescent="0.15">
      <c r="H331" s="30"/>
      <c r="I331" s="30"/>
    </row>
    <row r="332" spans="8:9" ht="15.75" customHeight="1" x14ac:dyDescent="0.15">
      <c r="H332" s="30"/>
      <c r="I332" s="30"/>
    </row>
    <row r="333" spans="8:9" ht="15.75" customHeight="1" x14ac:dyDescent="0.15">
      <c r="H333" s="30"/>
      <c r="I333" s="30"/>
    </row>
    <row r="334" spans="8:9" ht="15.75" customHeight="1" x14ac:dyDescent="0.15">
      <c r="H334" s="30"/>
      <c r="I334" s="30"/>
    </row>
    <row r="335" spans="8:9" ht="15.75" customHeight="1" x14ac:dyDescent="0.15">
      <c r="H335" s="30"/>
      <c r="I335" s="30"/>
    </row>
    <row r="336" spans="8:9" ht="15.75" customHeight="1" x14ac:dyDescent="0.15">
      <c r="H336" s="30"/>
      <c r="I336" s="30"/>
    </row>
    <row r="337" spans="8:9" ht="15.75" customHeight="1" x14ac:dyDescent="0.15">
      <c r="H337" s="30"/>
      <c r="I337" s="30"/>
    </row>
    <row r="338" spans="8:9" ht="15.75" customHeight="1" x14ac:dyDescent="0.15">
      <c r="H338" s="30"/>
      <c r="I338" s="30"/>
    </row>
    <row r="339" spans="8:9" ht="15.75" customHeight="1" x14ac:dyDescent="0.15">
      <c r="H339" s="30"/>
      <c r="I339" s="30"/>
    </row>
    <row r="340" spans="8:9" ht="15.75" customHeight="1" x14ac:dyDescent="0.15">
      <c r="H340" s="30"/>
      <c r="I340" s="30"/>
    </row>
    <row r="341" spans="8:9" ht="15.75" customHeight="1" x14ac:dyDescent="0.15">
      <c r="H341" s="30"/>
      <c r="I341" s="30"/>
    </row>
    <row r="342" spans="8:9" ht="15.75" customHeight="1" x14ac:dyDescent="0.15">
      <c r="H342" s="30"/>
      <c r="I342" s="30"/>
    </row>
    <row r="343" spans="8:9" ht="15.75" customHeight="1" x14ac:dyDescent="0.15">
      <c r="H343" s="30"/>
      <c r="I343" s="30"/>
    </row>
    <row r="344" spans="8:9" ht="15.75" customHeight="1" x14ac:dyDescent="0.15">
      <c r="H344" s="30"/>
      <c r="I344" s="30"/>
    </row>
    <row r="345" spans="8:9" ht="15.75" customHeight="1" x14ac:dyDescent="0.15">
      <c r="H345" s="30"/>
      <c r="I345" s="30"/>
    </row>
    <row r="346" spans="8:9" ht="15.75" customHeight="1" x14ac:dyDescent="0.15">
      <c r="H346" s="30"/>
      <c r="I346" s="30"/>
    </row>
    <row r="347" spans="8:9" ht="15.75" customHeight="1" x14ac:dyDescent="0.15">
      <c r="H347" s="30"/>
      <c r="I347" s="30"/>
    </row>
    <row r="348" spans="8:9" ht="15.75" customHeight="1" x14ac:dyDescent="0.15">
      <c r="H348" s="30"/>
      <c r="I348" s="30"/>
    </row>
    <row r="349" spans="8:9" ht="15.75" customHeight="1" x14ac:dyDescent="0.15">
      <c r="H349" s="30"/>
      <c r="I349" s="30"/>
    </row>
    <row r="350" spans="8:9" ht="15.75" customHeight="1" x14ac:dyDescent="0.15">
      <c r="H350" s="30"/>
      <c r="I350" s="30"/>
    </row>
    <row r="351" spans="8:9" ht="15.75" customHeight="1" x14ac:dyDescent="0.15">
      <c r="H351" s="30"/>
      <c r="I351" s="30"/>
    </row>
    <row r="352" spans="8:9" ht="15.75" customHeight="1" x14ac:dyDescent="0.15">
      <c r="H352" s="30"/>
      <c r="I352" s="30"/>
    </row>
    <row r="353" spans="8:9" ht="15.75" customHeight="1" x14ac:dyDescent="0.15">
      <c r="H353" s="30"/>
      <c r="I353" s="30"/>
    </row>
    <row r="354" spans="8:9" ht="15.75" customHeight="1" x14ac:dyDescent="0.15">
      <c r="H354" s="30"/>
      <c r="I354" s="30"/>
    </row>
    <row r="355" spans="8:9" ht="15.75" customHeight="1" x14ac:dyDescent="0.15">
      <c r="H355" s="30"/>
      <c r="I355" s="30"/>
    </row>
    <row r="356" spans="8:9" ht="15.75" customHeight="1" x14ac:dyDescent="0.15">
      <c r="H356" s="30"/>
      <c r="I356" s="30"/>
    </row>
    <row r="357" spans="8:9" ht="15.75" customHeight="1" x14ac:dyDescent="0.15">
      <c r="H357" s="30"/>
      <c r="I357" s="30"/>
    </row>
    <row r="358" spans="8:9" ht="15.75" customHeight="1" x14ac:dyDescent="0.15">
      <c r="H358" s="30"/>
      <c r="I358" s="30"/>
    </row>
    <row r="359" spans="8:9" ht="15.75" customHeight="1" x14ac:dyDescent="0.15">
      <c r="H359" s="30"/>
      <c r="I359" s="30"/>
    </row>
    <row r="360" spans="8:9" ht="15.75" customHeight="1" x14ac:dyDescent="0.15">
      <c r="H360" s="30"/>
      <c r="I360" s="30"/>
    </row>
    <row r="361" spans="8:9" ht="15.75" customHeight="1" x14ac:dyDescent="0.15">
      <c r="H361" s="30"/>
      <c r="I361" s="30"/>
    </row>
    <row r="362" spans="8:9" ht="15.75" customHeight="1" x14ac:dyDescent="0.15">
      <c r="H362" s="30"/>
      <c r="I362" s="30"/>
    </row>
    <row r="363" spans="8:9" ht="15.75" customHeight="1" x14ac:dyDescent="0.15">
      <c r="H363" s="30"/>
      <c r="I363" s="30"/>
    </row>
    <row r="364" spans="8:9" ht="15.75" customHeight="1" x14ac:dyDescent="0.15">
      <c r="H364" s="30"/>
      <c r="I364" s="30"/>
    </row>
    <row r="365" spans="8:9" ht="15.75" customHeight="1" x14ac:dyDescent="0.15">
      <c r="H365" s="30"/>
      <c r="I365" s="30"/>
    </row>
    <row r="366" spans="8:9" ht="15.75" customHeight="1" x14ac:dyDescent="0.15">
      <c r="H366" s="30"/>
      <c r="I366" s="30"/>
    </row>
    <row r="367" spans="8:9" ht="15.75" customHeight="1" x14ac:dyDescent="0.15">
      <c r="H367" s="30"/>
      <c r="I367" s="30"/>
    </row>
    <row r="368" spans="8:9" ht="15.75" customHeight="1" x14ac:dyDescent="0.15">
      <c r="H368" s="30"/>
      <c r="I368" s="30"/>
    </row>
    <row r="369" spans="8:9" ht="15.75" customHeight="1" x14ac:dyDescent="0.15">
      <c r="H369" s="30"/>
      <c r="I369" s="30"/>
    </row>
    <row r="370" spans="8:9" ht="15.75" customHeight="1" x14ac:dyDescent="0.15">
      <c r="H370" s="30"/>
      <c r="I370" s="30"/>
    </row>
    <row r="371" spans="8:9" ht="15.75" customHeight="1" x14ac:dyDescent="0.15">
      <c r="H371" s="30"/>
      <c r="I371" s="30"/>
    </row>
    <row r="372" spans="8:9" ht="15.75" customHeight="1" x14ac:dyDescent="0.15">
      <c r="H372" s="30"/>
      <c r="I372" s="30"/>
    </row>
    <row r="373" spans="8:9" ht="15.75" customHeight="1" x14ac:dyDescent="0.15">
      <c r="H373" s="30"/>
      <c r="I373" s="30"/>
    </row>
    <row r="374" spans="8:9" ht="15.75" customHeight="1" x14ac:dyDescent="0.15">
      <c r="H374" s="30"/>
      <c r="I374" s="30"/>
    </row>
    <row r="375" spans="8:9" ht="15.75" customHeight="1" x14ac:dyDescent="0.15">
      <c r="H375" s="30"/>
      <c r="I375" s="30"/>
    </row>
    <row r="376" spans="8:9" ht="15.75" customHeight="1" x14ac:dyDescent="0.15">
      <c r="H376" s="30"/>
      <c r="I376" s="30"/>
    </row>
    <row r="377" spans="8:9" ht="15.75" customHeight="1" x14ac:dyDescent="0.15">
      <c r="H377" s="30"/>
      <c r="I377" s="30"/>
    </row>
    <row r="378" spans="8:9" ht="15.75" customHeight="1" x14ac:dyDescent="0.15">
      <c r="H378" s="30"/>
      <c r="I378" s="30"/>
    </row>
    <row r="379" spans="8:9" ht="15.75" customHeight="1" x14ac:dyDescent="0.15">
      <c r="H379" s="30"/>
      <c r="I379" s="30"/>
    </row>
    <row r="380" spans="8:9" ht="15.75" customHeight="1" x14ac:dyDescent="0.15">
      <c r="H380" s="30"/>
      <c r="I380" s="30"/>
    </row>
    <row r="381" spans="8:9" ht="15.75" customHeight="1" x14ac:dyDescent="0.15">
      <c r="H381" s="30"/>
      <c r="I381" s="30"/>
    </row>
    <row r="382" spans="8:9" ht="15.75" customHeight="1" x14ac:dyDescent="0.15">
      <c r="H382" s="30"/>
      <c r="I382" s="30"/>
    </row>
    <row r="383" spans="8:9" ht="15.75" customHeight="1" x14ac:dyDescent="0.15">
      <c r="H383" s="30"/>
      <c r="I383" s="30"/>
    </row>
    <row r="384" spans="8:9" ht="15.75" customHeight="1" x14ac:dyDescent="0.15">
      <c r="H384" s="30"/>
      <c r="I384" s="30"/>
    </row>
    <row r="385" spans="8:9" ht="15.75" customHeight="1" x14ac:dyDescent="0.15">
      <c r="H385" s="30"/>
      <c r="I385" s="30"/>
    </row>
    <row r="386" spans="8:9" ht="15.75" customHeight="1" x14ac:dyDescent="0.15">
      <c r="H386" s="30"/>
      <c r="I386" s="30"/>
    </row>
    <row r="387" spans="8:9" ht="15.75" customHeight="1" x14ac:dyDescent="0.15">
      <c r="H387" s="30"/>
      <c r="I387" s="30"/>
    </row>
    <row r="388" spans="8:9" ht="15.75" customHeight="1" x14ac:dyDescent="0.15">
      <c r="H388" s="30"/>
      <c r="I388" s="30"/>
    </row>
    <row r="389" spans="8:9" ht="15.75" customHeight="1" x14ac:dyDescent="0.15">
      <c r="H389" s="30"/>
      <c r="I389" s="30"/>
    </row>
    <row r="390" spans="8:9" ht="15.75" customHeight="1" x14ac:dyDescent="0.15">
      <c r="H390" s="30"/>
      <c r="I390" s="30"/>
    </row>
    <row r="391" spans="8:9" ht="15.75" customHeight="1" x14ac:dyDescent="0.15">
      <c r="H391" s="30"/>
      <c r="I391" s="30"/>
    </row>
    <row r="392" spans="8:9" ht="15.75" customHeight="1" x14ac:dyDescent="0.15">
      <c r="H392" s="30"/>
      <c r="I392" s="30"/>
    </row>
    <row r="393" spans="8:9" ht="15.75" customHeight="1" x14ac:dyDescent="0.15">
      <c r="H393" s="30"/>
      <c r="I393" s="30"/>
    </row>
    <row r="394" spans="8:9" ht="15.75" customHeight="1" x14ac:dyDescent="0.15">
      <c r="H394" s="30"/>
      <c r="I394" s="30"/>
    </row>
    <row r="395" spans="8:9" ht="15.75" customHeight="1" x14ac:dyDescent="0.15">
      <c r="H395" s="30"/>
      <c r="I395" s="30"/>
    </row>
    <row r="396" spans="8:9" ht="15.75" customHeight="1" x14ac:dyDescent="0.15">
      <c r="H396" s="30"/>
      <c r="I396" s="30"/>
    </row>
    <row r="397" spans="8:9" ht="15.75" customHeight="1" x14ac:dyDescent="0.15">
      <c r="H397" s="30"/>
      <c r="I397" s="30"/>
    </row>
    <row r="398" spans="8:9" ht="15.75" customHeight="1" x14ac:dyDescent="0.15">
      <c r="H398" s="30"/>
      <c r="I398" s="30"/>
    </row>
    <row r="399" spans="8:9" ht="15.75" customHeight="1" x14ac:dyDescent="0.15">
      <c r="H399" s="30"/>
      <c r="I399" s="30"/>
    </row>
    <row r="400" spans="8:9" ht="15.75" customHeight="1" x14ac:dyDescent="0.15">
      <c r="H400" s="30"/>
      <c r="I400" s="30"/>
    </row>
    <row r="401" spans="8:9" ht="15.75" customHeight="1" x14ac:dyDescent="0.15">
      <c r="H401" s="30"/>
      <c r="I401" s="30"/>
    </row>
    <row r="402" spans="8:9" ht="15.75" customHeight="1" x14ac:dyDescent="0.15">
      <c r="H402" s="30"/>
      <c r="I402" s="30"/>
    </row>
    <row r="403" spans="8:9" ht="15.75" customHeight="1" x14ac:dyDescent="0.15">
      <c r="H403" s="30"/>
      <c r="I403" s="30"/>
    </row>
    <row r="404" spans="8:9" ht="15.75" customHeight="1" x14ac:dyDescent="0.15">
      <c r="H404" s="30"/>
      <c r="I404" s="30"/>
    </row>
    <row r="405" spans="8:9" ht="15.75" customHeight="1" x14ac:dyDescent="0.15">
      <c r="H405" s="30"/>
      <c r="I405" s="30"/>
    </row>
    <row r="406" spans="8:9" ht="15.75" customHeight="1" x14ac:dyDescent="0.15">
      <c r="H406" s="30"/>
      <c r="I406" s="30"/>
    </row>
    <row r="407" spans="8:9" ht="15.75" customHeight="1" x14ac:dyDescent="0.15">
      <c r="H407" s="30"/>
      <c r="I407" s="30"/>
    </row>
    <row r="408" spans="8:9" ht="15.75" customHeight="1" x14ac:dyDescent="0.15">
      <c r="H408" s="30"/>
      <c r="I408" s="30"/>
    </row>
    <row r="409" spans="8:9" ht="15.75" customHeight="1" x14ac:dyDescent="0.15">
      <c r="H409" s="30"/>
      <c r="I409" s="30"/>
    </row>
    <row r="410" spans="8:9" ht="15.75" customHeight="1" x14ac:dyDescent="0.15">
      <c r="H410" s="30"/>
      <c r="I410" s="30"/>
    </row>
    <row r="411" spans="8:9" ht="15.75" customHeight="1" x14ac:dyDescent="0.15">
      <c r="H411" s="30"/>
      <c r="I411" s="30"/>
    </row>
    <row r="412" spans="8:9" ht="15.75" customHeight="1" x14ac:dyDescent="0.15">
      <c r="H412" s="30"/>
      <c r="I412" s="30"/>
    </row>
    <row r="413" spans="8:9" ht="15.75" customHeight="1" x14ac:dyDescent="0.15">
      <c r="H413" s="30"/>
      <c r="I413" s="30"/>
    </row>
    <row r="414" spans="8:9" ht="15.75" customHeight="1" x14ac:dyDescent="0.15">
      <c r="H414" s="30"/>
      <c r="I414" s="30"/>
    </row>
    <row r="415" spans="8:9" ht="15.75" customHeight="1" x14ac:dyDescent="0.15">
      <c r="H415" s="30"/>
      <c r="I415" s="30"/>
    </row>
    <row r="416" spans="8:9" ht="15.75" customHeight="1" x14ac:dyDescent="0.15">
      <c r="H416" s="30"/>
      <c r="I416" s="30"/>
    </row>
    <row r="417" spans="8:9" ht="15.75" customHeight="1" x14ac:dyDescent="0.15">
      <c r="H417" s="30"/>
      <c r="I417" s="30"/>
    </row>
    <row r="418" spans="8:9" ht="15.75" customHeight="1" x14ac:dyDescent="0.15">
      <c r="H418" s="30"/>
      <c r="I418" s="30"/>
    </row>
    <row r="419" spans="8:9" ht="15.75" customHeight="1" x14ac:dyDescent="0.15">
      <c r="H419" s="30"/>
      <c r="I419" s="30"/>
    </row>
    <row r="420" spans="8:9" ht="15.75" customHeight="1" x14ac:dyDescent="0.15">
      <c r="H420" s="30"/>
      <c r="I420" s="30"/>
    </row>
    <row r="421" spans="8:9" ht="15.75" customHeight="1" x14ac:dyDescent="0.15">
      <c r="H421" s="30"/>
      <c r="I421" s="30"/>
    </row>
    <row r="422" spans="8:9" ht="15.75" customHeight="1" x14ac:dyDescent="0.15">
      <c r="H422" s="30"/>
      <c r="I422" s="30"/>
    </row>
    <row r="423" spans="8:9" ht="15.75" customHeight="1" x14ac:dyDescent="0.15">
      <c r="H423" s="30"/>
      <c r="I423" s="30"/>
    </row>
    <row r="424" spans="8:9" ht="15.75" customHeight="1" x14ac:dyDescent="0.15">
      <c r="H424" s="30"/>
      <c r="I424" s="30"/>
    </row>
    <row r="425" spans="8:9" ht="15.75" customHeight="1" x14ac:dyDescent="0.15">
      <c r="H425" s="30"/>
      <c r="I425" s="30"/>
    </row>
    <row r="426" spans="8:9" ht="15.75" customHeight="1" x14ac:dyDescent="0.15">
      <c r="H426" s="30"/>
      <c r="I426" s="30"/>
    </row>
    <row r="427" spans="8:9" ht="15.75" customHeight="1" x14ac:dyDescent="0.15">
      <c r="H427" s="30"/>
      <c r="I427" s="30"/>
    </row>
    <row r="428" spans="8:9" ht="15.75" customHeight="1" x14ac:dyDescent="0.15">
      <c r="H428" s="30"/>
      <c r="I428" s="30"/>
    </row>
    <row r="429" spans="8:9" ht="15.75" customHeight="1" x14ac:dyDescent="0.15">
      <c r="H429" s="30"/>
      <c r="I429" s="30"/>
    </row>
    <row r="430" spans="8:9" ht="15.75" customHeight="1" x14ac:dyDescent="0.15">
      <c r="H430" s="30"/>
      <c r="I430" s="30"/>
    </row>
    <row r="431" spans="8:9" ht="15.75" customHeight="1" x14ac:dyDescent="0.15">
      <c r="H431" s="30"/>
      <c r="I431" s="30"/>
    </row>
    <row r="432" spans="8:9" ht="15.75" customHeight="1" x14ac:dyDescent="0.15">
      <c r="H432" s="30"/>
      <c r="I432" s="30"/>
    </row>
    <row r="433" spans="8:9" ht="15.75" customHeight="1" x14ac:dyDescent="0.15">
      <c r="H433" s="30"/>
      <c r="I433" s="30"/>
    </row>
    <row r="434" spans="8:9" ht="15.75" customHeight="1" x14ac:dyDescent="0.15">
      <c r="H434" s="30"/>
      <c r="I434" s="30"/>
    </row>
    <row r="435" spans="8:9" ht="15.75" customHeight="1" x14ac:dyDescent="0.15">
      <c r="H435" s="30"/>
      <c r="I435" s="30"/>
    </row>
    <row r="436" spans="8:9" ht="15.75" customHeight="1" x14ac:dyDescent="0.15">
      <c r="H436" s="30"/>
      <c r="I436" s="30"/>
    </row>
    <row r="437" spans="8:9" ht="15.75" customHeight="1" x14ac:dyDescent="0.15">
      <c r="H437" s="30"/>
      <c r="I437" s="30"/>
    </row>
    <row r="438" spans="8:9" ht="15.75" customHeight="1" x14ac:dyDescent="0.15">
      <c r="H438" s="30"/>
      <c r="I438" s="30"/>
    </row>
    <row r="439" spans="8:9" ht="15.75" customHeight="1" x14ac:dyDescent="0.15">
      <c r="H439" s="30"/>
      <c r="I439" s="30"/>
    </row>
    <row r="440" spans="8:9" ht="15.75" customHeight="1" x14ac:dyDescent="0.15">
      <c r="H440" s="30"/>
      <c r="I440" s="30"/>
    </row>
    <row r="441" spans="8:9" ht="15.75" customHeight="1" x14ac:dyDescent="0.15">
      <c r="H441" s="30"/>
      <c r="I441" s="30"/>
    </row>
    <row r="442" spans="8:9" ht="15.75" customHeight="1" x14ac:dyDescent="0.15">
      <c r="H442" s="30"/>
      <c r="I442" s="30"/>
    </row>
    <row r="443" spans="8:9" ht="15.75" customHeight="1" x14ac:dyDescent="0.15">
      <c r="H443" s="30"/>
      <c r="I443" s="30"/>
    </row>
    <row r="444" spans="8:9" ht="15.75" customHeight="1" x14ac:dyDescent="0.15">
      <c r="H444" s="30"/>
      <c r="I444" s="30"/>
    </row>
    <row r="445" spans="8:9" ht="15.75" customHeight="1" x14ac:dyDescent="0.15">
      <c r="H445" s="30"/>
      <c r="I445" s="30"/>
    </row>
    <row r="446" spans="8:9" ht="15.75" customHeight="1" x14ac:dyDescent="0.15">
      <c r="H446" s="30"/>
      <c r="I446" s="30"/>
    </row>
    <row r="447" spans="8:9" ht="15.75" customHeight="1" x14ac:dyDescent="0.15">
      <c r="H447" s="30"/>
      <c r="I447" s="30"/>
    </row>
    <row r="448" spans="8:9" ht="15.75" customHeight="1" x14ac:dyDescent="0.15">
      <c r="H448" s="30"/>
      <c r="I448" s="30"/>
    </row>
    <row r="449" spans="8:9" ht="15.75" customHeight="1" x14ac:dyDescent="0.15">
      <c r="H449" s="30"/>
      <c r="I449" s="30"/>
    </row>
    <row r="450" spans="8:9" ht="15.75" customHeight="1" x14ac:dyDescent="0.15">
      <c r="H450" s="30"/>
      <c r="I450" s="30"/>
    </row>
    <row r="451" spans="8:9" ht="15.75" customHeight="1" x14ac:dyDescent="0.15">
      <c r="H451" s="30"/>
      <c r="I451" s="30"/>
    </row>
    <row r="452" spans="8:9" ht="15.75" customHeight="1" x14ac:dyDescent="0.15">
      <c r="H452" s="30"/>
      <c r="I452" s="30"/>
    </row>
    <row r="453" spans="8:9" ht="15.75" customHeight="1" x14ac:dyDescent="0.15">
      <c r="H453" s="30"/>
      <c r="I453" s="30"/>
    </row>
    <row r="454" spans="8:9" ht="15.75" customHeight="1" x14ac:dyDescent="0.15">
      <c r="H454" s="30"/>
      <c r="I454" s="30"/>
    </row>
    <row r="455" spans="8:9" ht="15.75" customHeight="1" x14ac:dyDescent="0.15">
      <c r="H455" s="30"/>
      <c r="I455" s="30"/>
    </row>
    <row r="456" spans="8:9" ht="15.75" customHeight="1" x14ac:dyDescent="0.15">
      <c r="H456" s="30"/>
      <c r="I456" s="30"/>
    </row>
    <row r="457" spans="8:9" ht="15.75" customHeight="1" x14ac:dyDescent="0.15">
      <c r="H457" s="30"/>
      <c r="I457" s="30"/>
    </row>
    <row r="458" spans="8:9" ht="15.75" customHeight="1" x14ac:dyDescent="0.15">
      <c r="H458" s="30"/>
      <c r="I458" s="30"/>
    </row>
    <row r="459" spans="8:9" ht="15.75" customHeight="1" x14ac:dyDescent="0.15">
      <c r="H459" s="30"/>
      <c r="I459" s="30"/>
    </row>
    <row r="460" spans="8:9" ht="15.75" customHeight="1" x14ac:dyDescent="0.15">
      <c r="H460" s="30"/>
      <c r="I460" s="30"/>
    </row>
    <row r="461" spans="8:9" ht="15.75" customHeight="1" x14ac:dyDescent="0.15">
      <c r="H461" s="30"/>
      <c r="I461" s="30"/>
    </row>
    <row r="462" spans="8:9" ht="15.75" customHeight="1" x14ac:dyDescent="0.15">
      <c r="H462" s="30"/>
      <c r="I462" s="30"/>
    </row>
    <row r="463" spans="8:9" ht="15.75" customHeight="1" x14ac:dyDescent="0.15">
      <c r="H463" s="30"/>
      <c r="I463" s="30"/>
    </row>
    <row r="464" spans="8:9" ht="15.75" customHeight="1" x14ac:dyDescent="0.15">
      <c r="H464" s="30"/>
      <c r="I464" s="30"/>
    </row>
    <row r="465" spans="8:9" ht="15.75" customHeight="1" x14ac:dyDescent="0.15">
      <c r="H465" s="30"/>
      <c r="I465" s="30"/>
    </row>
    <row r="466" spans="8:9" ht="15.75" customHeight="1" x14ac:dyDescent="0.15">
      <c r="H466" s="30"/>
      <c r="I466" s="30"/>
    </row>
    <row r="467" spans="8:9" ht="15.75" customHeight="1" x14ac:dyDescent="0.15">
      <c r="H467" s="30"/>
      <c r="I467" s="30"/>
    </row>
    <row r="468" spans="8:9" ht="15.75" customHeight="1" x14ac:dyDescent="0.15">
      <c r="H468" s="30"/>
      <c r="I468" s="30"/>
    </row>
    <row r="469" spans="8:9" ht="15.75" customHeight="1" x14ac:dyDescent="0.15">
      <c r="H469" s="30"/>
      <c r="I469" s="30"/>
    </row>
    <row r="470" spans="8:9" ht="15.75" customHeight="1" x14ac:dyDescent="0.15">
      <c r="H470" s="30"/>
      <c r="I470" s="30"/>
    </row>
    <row r="471" spans="8:9" ht="15.75" customHeight="1" x14ac:dyDescent="0.15">
      <c r="H471" s="30"/>
      <c r="I471" s="30"/>
    </row>
    <row r="472" spans="8:9" ht="15.75" customHeight="1" x14ac:dyDescent="0.15">
      <c r="H472" s="30"/>
      <c r="I472" s="30"/>
    </row>
    <row r="473" spans="8:9" ht="15.75" customHeight="1" x14ac:dyDescent="0.15">
      <c r="H473" s="30"/>
      <c r="I473" s="30"/>
    </row>
    <row r="474" spans="8:9" ht="15.75" customHeight="1" x14ac:dyDescent="0.15">
      <c r="H474" s="30"/>
      <c r="I474" s="30"/>
    </row>
    <row r="475" spans="8:9" ht="15.75" customHeight="1" x14ac:dyDescent="0.15">
      <c r="H475" s="30"/>
      <c r="I475" s="30"/>
    </row>
    <row r="476" spans="8:9" ht="15.75" customHeight="1" x14ac:dyDescent="0.15">
      <c r="H476" s="30"/>
      <c r="I476" s="30"/>
    </row>
    <row r="477" spans="8:9" ht="15.75" customHeight="1" x14ac:dyDescent="0.15">
      <c r="H477" s="30"/>
      <c r="I477" s="30"/>
    </row>
    <row r="478" spans="8:9" ht="15.75" customHeight="1" x14ac:dyDescent="0.15">
      <c r="H478" s="30"/>
      <c r="I478" s="30"/>
    </row>
    <row r="479" spans="8:9" ht="15.75" customHeight="1" x14ac:dyDescent="0.15">
      <c r="H479" s="30"/>
      <c r="I479" s="30"/>
    </row>
    <row r="480" spans="8:9" ht="15.75" customHeight="1" x14ac:dyDescent="0.15">
      <c r="H480" s="30"/>
      <c r="I480" s="30"/>
    </row>
    <row r="481" spans="8:9" ht="15.75" customHeight="1" x14ac:dyDescent="0.15">
      <c r="H481" s="30"/>
      <c r="I481" s="30"/>
    </row>
    <row r="482" spans="8:9" ht="15.75" customHeight="1" x14ac:dyDescent="0.15">
      <c r="H482" s="30"/>
      <c r="I482" s="30"/>
    </row>
    <row r="483" spans="8:9" ht="15.75" customHeight="1" x14ac:dyDescent="0.15">
      <c r="H483" s="30"/>
      <c r="I483" s="30"/>
    </row>
    <row r="484" spans="8:9" ht="15.75" customHeight="1" x14ac:dyDescent="0.15">
      <c r="H484" s="30"/>
      <c r="I484" s="30"/>
    </row>
    <row r="485" spans="8:9" ht="15.75" customHeight="1" x14ac:dyDescent="0.15">
      <c r="H485" s="30"/>
      <c r="I485" s="30"/>
    </row>
    <row r="486" spans="8:9" ht="15.75" customHeight="1" x14ac:dyDescent="0.15">
      <c r="H486" s="30"/>
      <c r="I486" s="30"/>
    </row>
    <row r="487" spans="8:9" ht="15.75" customHeight="1" x14ac:dyDescent="0.15">
      <c r="H487" s="30"/>
      <c r="I487" s="30"/>
    </row>
    <row r="488" spans="8:9" ht="15.75" customHeight="1" x14ac:dyDescent="0.15">
      <c r="H488" s="30"/>
      <c r="I488" s="30"/>
    </row>
    <row r="489" spans="8:9" ht="15.75" customHeight="1" x14ac:dyDescent="0.15">
      <c r="H489" s="30"/>
      <c r="I489" s="30"/>
    </row>
    <row r="490" spans="8:9" ht="15.75" customHeight="1" x14ac:dyDescent="0.15">
      <c r="H490" s="30"/>
      <c r="I490" s="30"/>
    </row>
    <row r="491" spans="8:9" ht="15.75" customHeight="1" x14ac:dyDescent="0.15">
      <c r="H491" s="30"/>
      <c r="I491" s="30"/>
    </row>
    <row r="492" spans="8:9" ht="15.75" customHeight="1" x14ac:dyDescent="0.15">
      <c r="H492" s="30"/>
      <c r="I492" s="30"/>
    </row>
    <row r="493" spans="8:9" ht="15.75" customHeight="1" x14ac:dyDescent="0.15">
      <c r="H493" s="30"/>
      <c r="I493" s="30"/>
    </row>
    <row r="494" spans="8:9" ht="15.75" customHeight="1" x14ac:dyDescent="0.15">
      <c r="H494" s="30"/>
      <c r="I494" s="30"/>
    </row>
    <row r="495" spans="8:9" ht="15.75" customHeight="1" x14ac:dyDescent="0.15">
      <c r="H495" s="30"/>
      <c r="I495" s="30"/>
    </row>
    <row r="496" spans="8:9" ht="15.75" customHeight="1" x14ac:dyDescent="0.15">
      <c r="H496" s="30"/>
      <c r="I496" s="30"/>
    </row>
    <row r="497" spans="8:9" ht="15.75" customHeight="1" x14ac:dyDescent="0.15">
      <c r="H497" s="30"/>
      <c r="I497" s="30"/>
    </row>
    <row r="498" spans="8:9" ht="15.75" customHeight="1" x14ac:dyDescent="0.15">
      <c r="H498" s="30"/>
      <c r="I498" s="30"/>
    </row>
    <row r="499" spans="8:9" ht="15.75" customHeight="1" x14ac:dyDescent="0.15">
      <c r="H499" s="30"/>
      <c r="I499" s="30"/>
    </row>
    <row r="500" spans="8:9" ht="15.75" customHeight="1" x14ac:dyDescent="0.15">
      <c r="H500" s="30"/>
      <c r="I500" s="30"/>
    </row>
    <row r="501" spans="8:9" ht="15.75" customHeight="1" x14ac:dyDescent="0.15">
      <c r="H501" s="30"/>
      <c r="I501" s="30"/>
    </row>
    <row r="502" spans="8:9" ht="15.75" customHeight="1" x14ac:dyDescent="0.15">
      <c r="H502" s="30"/>
      <c r="I502" s="30"/>
    </row>
    <row r="503" spans="8:9" ht="15.75" customHeight="1" x14ac:dyDescent="0.15">
      <c r="H503" s="30"/>
      <c r="I503" s="30"/>
    </row>
    <row r="504" spans="8:9" ht="15.75" customHeight="1" x14ac:dyDescent="0.15">
      <c r="H504" s="30"/>
      <c r="I504" s="30"/>
    </row>
    <row r="505" spans="8:9" ht="15.75" customHeight="1" x14ac:dyDescent="0.15">
      <c r="H505" s="30"/>
      <c r="I505" s="30"/>
    </row>
    <row r="506" spans="8:9" ht="15.75" customHeight="1" x14ac:dyDescent="0.15">
      <c r="H506" s="30"/>
      <c r="I506" s="30"/>
    </row>
    <row r="507" spans="8:9" ht="15.75" customHeight="1" x14ac:dyDescent="0.15">
      <c r="H507" s="30"/>
      <c r="I507" s="30"/>
    </row>
    <row r="508" spans="8:9" ht="15.75" customHeight="1" x14ac:dyDescent="0.15">
      <c r="H508" s="30"/>
      <c r="I508" s="30"/>
    </row>
    <row r="509" spans="8:9" ht="15.75" customHeight="1" x14ac:dyDescent="0.15">
      <c r="H509" s="30"/>
      <c r="I509" s="30"/>
    </row>
    <row r="510" spans="8:9" ht="15.75" customHeight="1" x14ac:dyDescent="0.15">
      <c r="H510" s="30"/>
      <c r="I510" s="30"/>
    </row>
    <row r="511" spans="8:9" ht="15.75" customHeight="1" x14ac:dyDescent="0.15">
      <c r="H511" s="30"/>
      <c r="I511" s="30"/>
    </row>
    <row r="512" spans="8:9" ht="15.75" customHeight="1" x14ac:dyDescent="0.15">
      <c r="H512" s="30"/>
      <c r="I512" s="30"/>
    </row>
    <row r="513" spans="8:9" ht="15.75" customHeight="1" x14ac:dyDescent="0.15">
      <c r="H513" s="30"/>
      <c r="I513" s="30"/>
    </row>
    <row r="514" spans="8:9" ht="15.75" customHeight="1" x14ac:dyDescent="0.15">
      <c r="H514" s="30"/>
      <c r="I514" s="30"/>
    </row>
    <row r="515" spans="8:9" ht="15.75" customHeight="1" x14ac:dyDescent="0.15">
      <c r="H515" s="30"/>
      <c r="I515" s="30"/>
    </row>
    <row r="516" spans="8:9" ht="15.75" customHeight="1" x14ac:dyDescent="0.15">
      <c r="H516" s="30"/>
      <c r="I516" s="30"/>
    </row>
    <row r="517" spans="8:9" ht="15.75" customHeight="1" x14ac:dyDescent="0.15">
      <c r="H517" s="30"/>
      <c r="I517" s="30"/>
    </row>
    <row r="518" spans="8:9" ht="15.75" customHeight="1" x14ac:dyDescent="0.15">
      <c r="H518" s="30"/>
      <c r="I518" s="30"/>
    </row>
    <row r="519" spans="8:9" ht="15.75" customHeight="1" x14ac:dyDescent="0.15">
      <c r="H519" s="30"/>
      <c r="I519" s="30"/>
    </row>
    <row r="520" spans="8:9" ht="15.75" customHeight="1" x14ac:dyDescent="0.15">
      <c r="H520" s="30"/>
      <c r="I520" s="30"/>
    </row>
    <row r="521" spans="8:9" ht="15.75" customHeight="1" x14ac:dyDescent="0.15">
      <c r="H521" s="30"/>
      <c r="I521" s="30"/>
    </row>
    <row r="522" spans="8:9" ht="15.75" customHeight="1" x14ac:dyDescent="0.15">
      <c r="H522" s="30"/>
      <c r="I522" s="30"/>
    </row>
    <row r="523" spans="8:9" ht="15.75" customHeight="1" x14ac:dyDescent="0.15">
      <c r="H523" s="30"/>
      <c r="I523" s="30"/>
    </row>
    <row r="524" spans="8:9" ht="15.75" customHeight="1" x14ac:dyDescent="0.15">
      <c r="H524" s="30"/>
      <c r="I524" s="30"/>
    </row>
    <row r="525" spans="8:9" ht="15.75" customHeight="1" x14ac:dyDescent="0.15">
      <c r="H525" s="30"/>
      <c r="I525" s="30"/>
    </row>
    <row r="526" spans="8:9" ht="15.75" customHeight="1" x14ac:dyDescent="0.15">
      <c r="H526" s="30"/>
      <c r="I526" s="30"/>
    </row>
    <row r="527" spans="8:9" ht="15.75" customHeight="1" x14ac:dyDescent="0.15">
      <c r="H527" s="30"/>
      <c r="I527" s="30"/>
    </row>
    <row r="528" spans="8:9" ht="15.75" customHeight="1" x14ac:dyDescent="0.15">
      <c r="H528" s="30"/>
      <c r="I528" s="30"/>
    </row>
    <row r="529" spans="8:9" ht="15.75" customHeight="1" x14ac:dyDescent="0.15">
      <c r="H529" s="30"/>
      <c r="I529" s="30"/>
    </row>
    <row r="530" spans="8:9" ht="15.75" customHeight="1" x14ac:dyDescent="0.15">
      <c r="H530" s="30"/>
      <c r="I530" s="30"/>
    </row>
    <row r="531" spans="8:9" ht="15.75" customHeight="1" x14ac:dyDescent="0.15">
      <c r="H531" s="30"/>
      <c r="I531" s="30"/>
    </row>
    <row r="532" spans="8:9" ht="15.75" customHeight="1" x14ac:dyDescent="0.15">
      <c r="H532" s="30"/>
      <c r="I532" s="30"/>
    </row>
    <row r="533" spans="8:9" ht="15.75" customHeight="1" x14ac:dyDescent="0.15">
      <c r="H533" s="30"/>
      <c r="I533" s="30"/>
    </row>
    <row r="534" spans="8:9" ht="15.75" customHeight="1" x14ac:dyDescent="0.15">
      <c r="H534" s="30"/>
      <c r="I534" s="30"/>
    </row>
    <row r="535" spans="8:9" ht="15.75" customHeight="1" x14ac:dyDescent="0.15">
      <c r="H535" s="30"/>
      <c r="I535" s="30"/>
    </row>
    <row r="536" spans="8:9" ht="15.75" customHeight="1" x14ac:dyDescent="0.15">
      <c r="H536" s="30"/>
      <c r="I536" s="30"/>
    </row>
    <row r="537" spans="8:9" ht="15.75" customHeight="1" x14ac:dyDescent="0.15">
      <c r="H537" s="30"/>
      <c r="I537" s="30"/>
    </row>
    <row r="538" spans="8:9" ht="15.75" customHeight="1" x14ac:dyDescent="0.15">
      <c r="H538" s="30"/>
      <c r="I538" s="30"/>
    </row>
    <row r="539" spans="8:9" ht="15.75" customHeight="1" x14ac:dyDescent="0.15">
      <c r="H539" s="30"/>
      <c r="I539" s="30"/>
    </row>
    <row r="540" spans="8:9" ht="15.75" customHeight="1" x14ac:dyDescent="0.15">
      <c r="H540" s="30"/>
      <c r="I540" s="30"/>
    </row>
    <row r="541" spans="8:9" ht="15.75" customHeight="1" x14ac:dyDescent="0.15">
      <c r="H541" s="30"/>
      <c r="I541" s="30"/>
    </row>
    <row r="542" spans="8:9" ht="15.75" customHeight="1" x14ac:dyDescent="0.15">
      <c r="H542" s="30"/>
      <c r="I542" s="30"/>
    </row>
    <row r="543" spans="8:9" ht="15.75" customHeight="1" x14ac:dyDescent="0.15">
      <c r="H543" s="30"/>
      <c r="I543" s="30"/>
    </row>
    <row r="544" spans="8:9" ht="15.75" customHeight="1" x14ac:dyDescent="0.15">
      <c r="H544" s="30"/>
      <c r="I544" s="30"/>
    </row>
    <row r="545" spans="8:9" ht="15.75" customHeight="1" x14ac:dyDescent="0.15">
      <c r="H545" s="30"/>
      <c r="I545" s="30"/>
    </row>
    <row r="546" spans="8:9" ht="15.75" customHeight="1" x14ac:dyDescent="0.15">
      <c r="H546" s="30"/>
      <c r="I546" s="30"/>
    </row>
    <row r="547" spans="8:9" ht="15.75" customHeight="1" x14ac:dyDescent="0.15">
      <c r="H547" s="30"/>
      <c r="I547" s="30"/>
    </row>
    <row r="548" spans="8:9" ht="15.75" customHeight="1" x14ac:dyDescent="0.15">
      <c r="H548" s="30"/>
      <c r="I548" s="30"/>
    </row>
    <row r="549" spans="8:9" ht="15.75" customHeight="1" x14ac:dyDescent="0.15">
      <c r="H549" s="30"/>
      <c r="I549" s="30"/>
    </row>
    <row r="550" spans="8:9" ht="15.75" customHeight="1" x14ac:dyDescent="0.15">
      <c r="H550" s="30"/>
      <c r="I550" s="30"/>
    </row>
    <row r="551" spans="8:9" ht="15.75" customHeight="1" x14ac:dyDescent="0.15">
      <c r="H551" s="30"/>
      <c r="I551" s="30"/>
    </row>
    <row r="552" spans="8:9" ht="15.75" customHeight="1" x14ac:dyDescent="0.15">
      <c r="H552" s="30"/>
      <c r="I552" s="30"/>
    </row>
    <row r="553" spans="8:9" ht="15.75" customHeight="1" x14ac:dyDescent="0.15">
      <c r="H553" s="30"/>
      <c r="I553" s="30"/>
    </row>
    <row r="554" spans="8:9" ht="15.75" customHeight="1" x14ac:dyDescent="0.15">
      <c r="H554" s="30"/>
      <c r="I554" s="30"/>
    </row>
    <row r="555" spans="8:9" ht="15.75" customHeight="1" x14ac:dyDescent="0.15">
      <c r="H555" s="30"/>
      <c r="I555" s="30"/>
    </row>
    <row r="556" spans="8:9" ht="15.75" customHeight="1" x14ac:dyDescent="0.15">
      <c r="H556" s="30"/>
      <c r="I556" s="30"/>
    </row>
    <row r="557" spans="8:9" ht="15.75" customHeight="1" x14ac:dyDescent="0.15">
      <c r="H557" s="30"/>
      <c r="I557" s="30"/>
    </row>
    <row r="558" spans="8:9" ht="15.75" customHeight="1" x14ac:dyDescent="0.15">
      <c r="H558" s="30"/>
      <c r="I558" s="30"/>
    </row>
    <row r="559" spans="8:9" ht="15.75" customHeight="1" x14ac:dyDescent="0.15">
      <c r="H559" s="30"/>
      <c r="I559" s="30"/>
    </row>
    <row r="560" spans="8:9" ht="15.75" customHeight="1" x14ac:dyDescent="0.15">
      <c r="H560" s="30"/>
      <c r="I560" s="30"/>
    </row>
    <row r="561" spans="8:9" ht="15.75" customHeight="1" x14ac:dyDescent="0.15">
      <c r="H561" s="30"/>
      <c r="I561" s="30"/>
    </row>
    <row r="562" spans="8:9" ht="15.75" customHeight="1" x14ac:dyDescent="0.15">
      <c r="H562" s="30"/>
      <c r="I562" s="30"/>
    </row>
    <row r="563" spans="8:9" ht="15.75" customHeight="1" x14ac:dyDescent="0.15">
      <c r="H563" s="30"/>
      <c r="I563" s="30"/>
    </row>
    <row r="564" spans="8:9" ht="15.75" customHeight="1" x14ac:dyDescent="0.15">
      <c r="H564" s="30"/>
      <c r="I564" s="30"/>
    </row>
    <row r="565" spans="8:9" ht="15.75" customHeight="1" x14ac:dyDescent="0.15">
      <c r="H565" s="30"/>
      <c r="I565" s="30"/>
    </row>
    <row r="566" spans="8:9" ht="15.75" customHeight="1" x14ac:dyDescent="0.15">
      <c r="H566" s="30"/>
      <c r="I566" s="30"/>
    </row>
    <row r="567" spans="8:9" ht="15.75" customHeight="1" x14ac:dyDescent="0.15">
      <c r="H567" s="30"/>
      <c r="I567" s="30"/>
    </row>
    <row r="568" spans="8:9" ht="15.75" customHeight="1" x14ac:dyDescent="0.15">
      <c r="H568" s="30"/>
      <c r="I568" s="30"/>
    </row>
    <row r="569" spans="8:9" ht="15.75" customHeight="1" x14ac:dyDescent="0.15">
      <c r="H569" s="30"/>
      <c r="I569" s="30"/>
    </row>
    <row r="570" spans="8:9" ht="15.75" customHeight="1" x14ac:dyDescent="0.15">
      <c r="H570" s="30"/>
      <c r="I570" s="30"/>
    </row>
    <row r="571" spans="8:9" ht="15.75" customHeight="1" x14ac:dyDescent="0.15">
      <c r="H571" s="30"/>
      <c r="I571" s="30"/>
    </row>
    <row r="572" spans="8:9" ht="15.75" customHeight="1" x14ac:dyDescent="0.15">
      <c r="H572" s="30"/>
      <c r="I572" s="30"/>
    </row>
    <row r="573" spans="8:9" ht="15.75" customHeight="1" x14ac:dyDescent="0.15">
      <c r="H573" s="30"/>
      <c r="I573" s="30"/>
    </row>
    <row r="574" spans="8:9" ht="15.75" customHeight="1" x14ac:dyDescent="0.15">
      <c r="H574" s="30"/>
      <c r="I574" s="30"/>
    </row>
    <row r="575" spans="8:9" ht="15.75" customHeight="1" x14ac:dyDescent="0.15">
      <c r="H575" s="30"/>
      <c r="I575" s="30"/>
    </row>
    <row r="576" spans="8:9" ht="15.75" customHeight="1" x14ac:dyDescent="0.15">
      <c r="H576" s="30"/>
      <c r="I576" s="30"/>
    </row>
    <row r="577" spans="8:9" ht="15.75" customHeight="1" x14ac:dyDescent="0.15">
      <c r="H577" s="30"/>
      <c r="I577" s="30"/>
    </row>
    <row r="578" spans="8:9" ht="15.75" customHeight="1" x14ac:dyDescent="0.15">
      <c r="H578" s="30"/>
      <c r="I578" s="30"/>
    </row>
    <row r="579" spans="8:9" ht="15.75" customHeight="1" x14ac:dyDescent="0.15">
      <c r="H579" s="30"/>
      <c r="I579" s="30"/>
    </row>
    <row r="580" spans="8:9" ht="15.75" customHeight="1" x14ac:dyDescent="0.15">
      <c r="H580" s="30"/>
      <c r="I580" s="30"/>
    </row>
    <row r="581" spans="8:9" ht="15.75" customHeight="1" x14ac:dyDescent="0.15">
      <c r="H581" s="30"/>
      <c r="I581" s="30"/>
    </row>
    <row r="582" spans="8:9" ht="15.75" customHeight="1" x14ac:dyDescent="0.15">
      <c r="H582" s="30"/>
      <c r="I582" s="30"/>
    </row>
    <row r="583" spans="8:9" ht="15.75" customHeight="1" x14ac:dyDescent="0.15">
      <c r="H583" s="30"/>
      <c r="I583" s="30"/>
    </row>
    <row r="584" spans="8:9" ht="15.75" customHeight="1" x14ac:dyDescent="0.15">
      <c r="H584" s="30"/>
      <c r="I584" s="30"/>
    </row>
    <row r="585" spans="8:9" ht="15.75" customHeight="1" x14ac:dyDescent="0.15">
      <c r="H585" s="30"/>
      <c r="I585" s="30"/>
    </row>
    <row r="586" spans="8:9" ht="15.75" customHeight="1" x14ac:dyDescent="0.15">
      <c r="H586" s="30"/>
      <c r="I586" s="30"/>
    </row>
    <row r="587" spans="8:9" ht="15.75" customHeight="1" x14ac:dyDescent="0.15">
      <c r="H587" s="30"/>
      <c r="I587" s="30"/>
    </row>
    <row r="588" spans="8:9" ht="15.75" customHeight="1" x14ac:dyDescent="0.15">
      <c r="H588" s="30"/>
      <c r="I588" s="30"/>
    </row>
    <row r="589" spans="8:9" ht="15.75" customHeight="1" x14ac:dyDescent="0.15">
      <c r="H589" s="30"/>
      <c r="I589" s="30"/>
    </row>
    <row r="590" spans="8:9" ht="15.75" customHeight="1" x14ac:dyDescent="0.15">
      <c r="H590" s="30"/>
      <c r="I590" s="30"/>
    </row>
    <row r="591" spans="8:9" ht="15.75" customHeight="1" x14ac:dyDescent="0.15">
      <c r="H591" s="30"/>
      <c r="I591" s="30"/>
    </row>
    <row r="592" spans="8:9" ht="15.75" customHeight="1" x14ac:dyDescent="0.15">
      <c r="H592" s="30"/>
      <c r="I592" s="30"/>
    </row>
    <row r="593" spans="8:9" ht="15.75" customHeight="1" x14ac:dyDescent="0.15">
      <c r="H593" s="30"/>
      <c r="I593" s="30"/>
    </row>
    <row r="594" spans="8:9" ht="15.75" customHeight="1" x14ac:dyDescent="0.15">
      <c r="H594" s="30"/>
      <c r="I594" s="30"/>
    </row>
    <row r="595" spans="8:9" ht="15.75" customHeight="1" x14ac:dyDescent="0.15">
      <c r="H595" s="30"/>
      <c r="I595" s="30"/>
    </row>
    <row r="596" spans="8:9" ht="15.75" customHeight="1" x14ac:dyDescent="0.15">
      <c r="H596" s="30"/>
      <c r="I596" s="30"/>
    </row>
    <row r="597" spans="8:9" ht="15.75" customHeight="1" x14ac:dyDescent="0.15">
      <c r="H597" s="30"/>
      <c r="I597" s="30"/>
    </row>
    <row r="598" spans="8:9" ht="15.75" customHeight="1" x14ac:dyDescent="0.15">
      <c r="H598" s="30"/>
      <c r="I598" s="30"/>
    </row>
    <row r="599" spans="8:9" ht="15.75" customHeight="1" x14ac:dyDescent="0.15">
      <c r="H599" s="30"/>
      <c r="I599" s="30"/>
    </row>
    <row r="600" spans="8:9" ht="15.75" customHeight="1" x14ac:dyDescent="0.15">
      <c r="H600" s="30"/>
      <c r="I600" s="30"/>
    </row>
    <row r="601" spans="8:9" ht="15.75" customHeight="1" x14ac:dyDescent="0.15">
      <c r="H601" s="30"/>
      <c r="I601" s="30"/>
    </row>
    <row r="602" spans="8:9" ht="15.75" customHeight="1" x14ac:dyDescent="0.15">
      <c r="H602" s="30"/>
      <c r="I602" s="30"/>
    </row>
    <row r="603" spans="8:9" ht="15.75" customHeight="1" x14ac:dyDescent="0.15">
      <c r="H603" s="30"/>
      <c r="I603" s="30"/>
    </row>
    <row r="604" spans="8:9" ht="15.75" customHeight="1" x14ac:dyDescent="0.15">
      <c r="H604" s="30"/>
      <c r="I604" s="30"/>
    </row>
    <row r="605" spans="8:9" ht="15.75" customHeight="1" x14ac:dyDescent="0.15">
      <c r="H605" s="30"/>
      <c r="I605" s="30"/>
    </row>
    <row r="606" spans="8:9" ht="15.75" customHeight="1" x14ac:dyDescent="0.15">
      <c r="H606" s="30"/>
      <c r="I606" s="30"/>
    </row>
    <row r="607" spans="8:9" ht="15.75" customHeight="1" x14ac:dyDescent="0.15">
      <c r="H607" s="30"/>
      <c r="I607" s="30"/>
    </row>
    <row r="608" spans="8:9" ht="15.75" customHeight="1" x14ac:dyDescent="0.15">
      <c r="H608" s="30"/>
      <c r="I608" s="30"/>
    </row>
    <row r="609" spans="8:9" ht="15.75" customHeight="1" x14ac:dyDescent="0.15">
      <c r="H609" s="30"/>
      <c r="I609" s="30"/>
    </row>
    <row r="610" spans="8:9" ht="15.75" customHeight="1" x14ac:dyDescent="0.15">
      <c r="H610" s="30"/>
      <c r="I610" s="30"/>
    </row>
    <row r="611" spans="8:9" ht="15.75" customHeight="1" x14ac:dyDescent="0.15">
      <c r="H611" s="30"/>
      <c r="I611" s="30"/>
    </row>
    <row r="612" spans="8:9" ht="15.75" customHeight="1" x14ac:dyDescent="0.15">
      <c r="H612" s="30"/>
      <c r="I612" s="30"/>
    </row>
    <row r="613" spans="8:9" ht="15.75" customHeight="1" x14ac:dyDescent="0.15">
      <c r="H613" s="30"/>
      <c r="I613" s="30"/>
    </row>
    <row r="614" spans="8:9" ht="15.75" customHeight="1" x14ac:dyDescent="0.15">
      <c r="H614" s="30"/>
      <c r="I614" s="30"/>
    </row>
    <row r="615" spans="8:9" ht="15.75" customHeight="1" x14ac:dyDescent="0.15">
      <c r="H615" s="30"/>
      <c r="I615" s="30"/>
    </row>
    <row r="616" spans="8:9" ht="15.75" customHeight="1" x14ac:dyDescent="0.15">
      <c r="H616" s="30"/>
      <c r="I616" s="30"/>
    </row>
    <row r="617" spans="8:9" ht="15.75" customHeight="1" x14ac:dyDescent="0.15">
      <c r="H617" s="30"/>
      <c r="I617" s="30"/>
    </row>
    <row r="618" spans="8:9" ht="15.75" customHeight="1" x14ac:dyDescent="0.15">
      <c r="H618" s="30"/>
      <c r="I618" s="30"/>
    </row>
    <row r="619" spans="8:9" ht="15.75" customHeight="1" x14ac:dyDescent="0.15">
      <c r="H619" s="30"/>
      <c r="I619" s="30"/>
    </row>
    <row r="620" spans="8:9" ht="15.75" customHeight="1" x14ac:dyDescent="0.15">
      <c r="H620" s="30"/>
      <c r="I620" s="30"/>
    </row>
    <row r="621" spans="8:9" ht="15.75" customHeight="1" x14ac:dyDescent="0.15">
      <c r="H621" s="30"/>
      <c r="I621" s="30"/>
    </row>
    <row r="622" spans="8:9" ht="15.75" customHeight="1" x14ac:dyDescent="0.15">
      <c r="H622" s="30"/>
      <c r="I622" s="30"/>
    </row>
    <row r="623" spans="8:9" ht="15.75" customHeight="1" x14ac:dyDescent="0.15">
      <c r="H623" s="30"/>
      <c r="I623" s="30"/>
    </row>
    <row r="624" spans="8:9" ht="15.75" customHeight="1" x14ac:dyDescent="0.15">
      <c r="H624" s="30"/>
      <c r="I624" s="30"/>
    </row>
    <row r="625" spans="8:9" ht="15.75" customHeight="1" x14ac:dyDescent="0.15">
      <c r="H625" s="30"/>
      <c r="I625" s="30"/>
    </row>
    <row r="626" spans="8:9" ht="15.75" customHeight="1" x14ac:dyDescent="0.15">
      <c r="H626" s="30"/>
      <c r="I626" s="30"/>
    </row>
    <row r="627" spans="8:9" ht="15.75" customHeight="1" x14ac:dyDescent="0.15">
      <c r="H627" s="30"/>
      <c r="I627" s="30"/>
    </row>
    <row r="628" spans="8:9" ht="15.75" customHeight="1" x14ac:dyDescent="0.15">
      <c r="H628" s="30"/>
      <c r="I628" s="30"/>
    </row>
    <row r="629" spans="8:9" ht="15.75" customHeight="1" x14ac:dyDescent="0.15">
      <c r="H629" s="30"/>
      <c r="I629" s="30"/>
    </row>
    <row r="630" spans="8:9" ht="15.75" customHeight="1" x14ac:dyDescent="0.15">
      <c r="H630" s="30"/>
      <c r="I630" s="30"/>
    </row>
    <row r="631" spans="8:9" ht="15.75" customHeight="1" x14ac:dyDescent="0.15">
      <c r="H631" s="30"/>
      <c r="I631" s="30"/>
    </row>
    <row r="632" spans="8:9" ht="15.75" customHeight="1" x14ac:dyDescent="0.15">
      <c r="H632" s="30"/>
      <c r="I632" s="30"/>
    </row>
    <row r="633" spans="8:9" ht="15.75" customHeight="1" x14ac:dyDescent="0.15">
      <c r="H633" s="30"/>
      <c r="I633" s="30"/>
    </row>
    <row r="634" spans="8:9" ht="15.75" customHeight="1" x14ac:dyDescent="0.15">
      <c r="H634" s="30"/>
      <c r="I634" s="30"/>
    </row>
    <row r="635" spans="8:9" ht="15.75" customHeight="1" x14ac:dyDescent="0.15">
      <c r="H635" s="30"/>
      <c r="I635" s="30"/>
    </row>
    <row r="636" spans="8:9" ht="15.75" customHeight="1" x14ac:dyDescent="0.15">
      <c r="H636" s="30"/>
      <c r="I636" s="30"/>
    </row>
    <row r="637" spans="8:9" ht="15.75" customHeight="1" x14ac:dyDescent="0.15">
      <c r="H637" s="30"/>
      <c r="I637" s="30"/>
    </row>
    <row r="638" spans="8:9" ht="15.75" customHeight="1" x14ac:dyDescent="0.15">
      <c r="H638" s="30"/>
      <c r="I638" s="30"/>
    </row>
    <row r="639" spans="8:9" ht="15.75" customHeight="1" x14ac:dyDescent="0.15">
      <c r="H639" s="30"/>
      <c r="I639" s="30"/>
    </row>
    <row r="640" spans="8:9" ht="15.75" customHeight="1" x14ac:dyDescent="0.15">
      <c r="H640" s="30"/>
      <c r="I640" s="30"/>
    </row>
    <row r="641" spans="8:9" ht="15.75" customHeight="1" x14ac:dyDescent="0.15">
      <c r="H641" s="30"/>
      <c r="I641" s="30"/>
    </row>
    <row r="642" spans="8:9" ht="15.75" customHeight="1" x14ac:dyDescent="0.15">
      <c r="H642" s="30"/>
      <c r="I642" s="30"/>
    </row>
    <row r="643" spans="8:9" ht="15.75" customHeight="1" x14ac:dyDescent="0.15">
      <c r="H643" s="30"/>
      <c r="I643" s="30"/>
    </row>
    <row r="644" spans="8:9" ht="15.75" customHeight="1" x14ac:dyDescent="0.15">
      <c r="H644" s="30"/>
      <c r="I644" s="30"/>
    </row>
    <row r="645" spans="8:9" ht="15.75" customHeight="1" x14ac:dyDescent="0.15">
      <c r="H645" s="30"/>
      <c r="I645" s="30"/>
    </row>
    <row r="646" spans="8:9" ht="15.75" customHeight="1" x14ac:dyDescent="0.15">
      <c r="H646" s="30"/>
      <c r="I646" s="30"/>
    </row>
    <row r="647" spans="8:9" ht="15.75" customHeight="1" x14ac:dyDescent="0.15">
      <c r="H647" s="30"/>
      <c r="I647" s="30"/>
    </row>
    <row r="648" spans="8:9" ht="15.75" customHeight="1" x14ac:dyDescent="0.15">
      <c r="H648" s="30"/>
      <c r="I648" s="30"/>
    </row>
    <row r="649" spans="8:9" ht="15.75" customHeight="1" x14ac:dyDescent="0.15">
      <c r="H649" s="30"/>
      <c r="I649" s="30"/>
    </row>
    <row r="650" spans="8:9" ht="15.75" customHeight="1" x14ac:dyDescent="0.15">
      <c r="H650" s="30"/>
      <c r="I650" s="30"/>
    </row>
    <row r="651" spans="8:9" ht="15.75" customHeight="1" x14ac:dyDescent="0.15">
      <c r="H651" s="30"/>
      <c r="I651" s="30"/>
    </row>
    <row r="652" spans="8:9" ht="15.75" customHeight="1" x14ac:dyDescent="0.15">
      <c r="H652" s="30"/>
      <c r="I652" s="30"/>
    </row>
    <row r="653" spans="8:9" ht="15.75" customHeight="1" x14ac:dyDescent="0.15">
      <c r="H653" s="30"/>
      <c r="I653" s="30"/>
    </row>
    <row r="654" spans="8:9" ht="15.75" customHeight="1" x14ac:dyDescent="0.15">
      <c r="H654" s="30"/>
      <c r="I654" s="30"/>
    </row>
    <row r="655" spans="8:9" ht="15.75" customHeight="1" x14ac:dyDescent="0.15">
      <c r="H655" s="30"/>
      <c r="I655" s="30"/>
    </row>
    <row r="656" spans="8:9" ht="15.75" customHeight="1" x14ac:dyDescent="0.15">
      <c r="H656" s="30"/>
      <c r="I656" s="30"/>
    </row>
    <row r="657" spans="8:9" ht="15.75" customHeight="1" x14ac:dyDescent="0.15">
      <c r="H657" s="30"/>
      <c r="I657" s="30"/>
    </row>
    <row r="658" spans="8:9" ht="15.75" customHeight="1" x14ac:dyDescent="0.15">
      <c r="H658" s="30"/>
      <c r="I658" s="30"/>
    </row>
    <row r="659" spans="8:9" ht="15.75" customHeight="1" x14ac:dyDescent="0.15">
      <c r="H659" s="30"/>
      <c r="I659" s="30"/>
    </row>
    <row r="660" spans="8:9" ht="15.75" customHeight="1" x14ac:dyDescent="0.15">
      <c r="H660" s="30"/>
      <c r="I660" s="30"/>
    </row>
    <row r="661" spans="8:9" ht="15.75" customHeight="1" x14ac:dyDescent="0.15">
      <c r="H661" s="30"/>
      <c r="I661" s="30"/>
    </row>
    <row r="662" spans="8:9" ht="15.75" customHeight="1" x14ac:dyDescent="0.15">
      <c r="H662" s="30"/>
      <c r="I662" s="30"/>
    </row>
    <row r="663" spans="8:9" ht="15.75" customHeight="1" x14ac:dyDescent="0.15">
      <c r="H663" s="30"/>
      <c r="I663" s="30"/>
    </row>
    <row r="664" spans="8:9" ht="15.75" customHeight="1" x14ac:dyDescent="0.15">
      <c r="H664" s="30"/>
      <c r="I664" s="30"/>
    </row>
    <row r="665" spans="8:9" ht="15.75" customHeight="1" x14ac:dyDescent="0.15">
      <c r="H665" s="30"/>
      <c r="I665" s="30"/>
    </row>
    <row r="666" spans="8:9" ht="15.75" customHeight="1" x14ac:dyDescent="0.15">
      <c r="H666" s="30"/>
      <c r="I666" s="30"/>
    </row>
    <row r="667" spans="8:9" ht="15.75" customHeight="1" x14ac:dyDescent="0.15">
      <c r="H667" s="30"/>
      <c r="I667" s="30"/>
    </row>
    <row r="668" spans="8:9" ht="15.75" customHeight="1" x14ac:dyDescent="0.15">
      <c r="H668" s="30"/>
      <c r="I668" s="30"/>
    </row>
    <row r="669" spans="8:9" ht="15.75" customHeight="1" x14ac:dyDescent="0.15">
      <c r="H669" s="30"/>
      <c r="I669" s="30"/>
    </row>
    <row r="670" spans="8:9" ht="15.75" customHeight="1" x14ac:dyDescent="0.15">
      <c r="H670" s="30"/>
      <c r="I670" s="30"/>
    </row>
    <row r="671" spans="8:9" ht="15.75" customHeight="1" x14ac:dyDescent="0.15">
      <c r="H671" s="30"/>
      <c r="I671" s="30"/>
    </row>
    <row r="672" spans="8:9" ht="15.75" customHeight="1" x14ac:dyDescent="0.15">
      <c r="H672" s="30"/>
      <c r="I672" s="30"/>
    </row>
    <row r="673" spans="8:9" ht="15.75" customHeight="1" x14ac:dyDescent="0.15">
      <c r="H673" s="30"/>
      <c r="I673" s="30"/>
    </row>
    <row r="674" spans="8:9" ht="15.75" customHeight="1" x14ac:dyDescent="0.15">
      <c r="H674" s="30"/>
      <c r="I674" s="30"/>
    </row>
    <row r="675" spans="8:9" ht="15.75" customHeight="1" x14ac:dyDescent="0.15">
      <c r="H675" s="30"/>
      <c r="I675" s="30"/>
    </row>
    <row r="676" spans="8:9" ht="15.75" customHeight="1" x14ac:dyDescent="0.15">
      <c r="H676" s="30"/>
      <c r="I676" s="30"/>
    </row>
    <row r="677" spans="8:9" ht="15.75" customHeight="1" x14ac:dyDescent="0.15">
      <c r="H677" s="30"/>
      <c r="I677" s="30"/>
    </row>
    <row r="678" spans="8:9" ht="15.75" customHeight="1" x14ac:dyDescent="0.15">
      <c r="H678" s="30"/>
      <c r="I678" s="30"/>
    </row>
    <row r="679" spans="8:9" ht="15.75" customHeight="1" x14ac:dyDescent="0.15">
      <c r="H679" s="30"/>
      <c r="I679" s="30"/>
    </row>
    <row r="680" spans="8:9" ht="15.75" customHeight="1" x14ac:dyDescent="0.15">
      <c r="H680" s="30"/>
      <c r="I680" s="30"/>
    </row>
    <row r="681" spans="8:9" ht="15.75" customHeight="1" x14ac:dyDescent="0.15">
      <c r="H681" s="30"/>
      <c r="I681" s="30"/>
    </row>
    <row r="682" spans="8:9" ht="15.75" customHeight="1" x14ac:dyDescent="0.15">
      <c r="H682" s="30"/>
      <c r="I682" s="30"/>
    </row>
    <row r="683" spans="8:9" ht="15.75" customHeight="1" x14ac:dyDescent="0.15">
      <c r="H683" s="30"/>
      <c r="I683" s="30"/>
    </row>
    <row r="684" spans="8:9" ht="15.75" customHeight="1" x14ac:dyDescent="0.15">
      <c r="H684" s="30"/>
      <c r="I684" s="30"/>
    </row>
    <row r="685" spans="8:9" ht="15.75" customHeight="1" x14ac:dyDescent="0.15">
      <c r="H685" s="30"/>
      <c r="I685" s="30"/>
    </row>
    <row r="686" spans="8:9" ht="15.75" customHeight="1" x14ac:dyDescent="0.15">
      <c r="H686" s="30"/>
      <c r="I686" s="30"/>
    </row>
    <row r="687" spans="8:9" ht="15.75" customHeight="1" x14ac:dyDescent="0.15">
      <c r="H687" s="30"/>
      <c r="I687" s="30"/>
    </row>
    <row r="688" spans="8:9" ht="15.75" customHeight="1" x14ac:dyDescent="0.15">
      <c r="H688" s="30"/>
      <c r="I688" s="30"/>
    </row>
    <row r="689" spans="8:9" ht="15.75" customHeight="1" x14ac:dyDescent="0.15">
      <c r="H689" s="30"/>
      <c r="I689" s="30"/>
    </row>
    <row r="690" spans="8:9" ht="15.75" customHeight="1" x14ac:dyDescent="0.15">
      <c r="H690" s="30"/>
      <c r="I690" s="30"/>
    </row>
    <row r="691" spans="8:9" ht="15.75" customHeight="1" x14ac:dyDescent="0.15">
      <c r="H691" s="30"/>
      <c r="I691" s="30"/>
    </row>
    <row r="692" spans="8:9" ht="15.75" customHeight="1" x14ac:dyDescent="0.15">
      <c r="H692" s="30"/>
      <c r="I692" s="30"/>
    </row>
    <row r="693" spans="8:9" ht="15.75" customHeight="1" x14ac:dyDescent="0.15">
      <c r="H693" s="30"/>
      <c r="I693" s="30"/>
    </row>
    <row r="694" spans="8:9" ht="15.75" customHeight="1" x14ac:dyDescent="0.15">
      <c r="H694" s="30"/>
      <c r="I694" s="30"/>
    </row>
    <row r="695" spans="8:9" ht="15.75" customHeight="1" x14ac:dyDescent="0.15">
      <c r="H695" s="30"/>
      <c r="I695" s="30"/>
    </row>
    <row r="696" spans="8:9" ht="15.75" customHeight="1" x14ac:dyDescent="0.15">
      <c r="H696" s="30"/>
      <c r="I696" s="30"/>
    </row>
    <row r="697" spans="8:9" ht="15.75" customHeight="1" x14ac:dyDescent="0.15">
      <c r="H697" s="30"/>
      <c r="I697" s="30"/>
    </row>
    <row r="698" spans="8:9" ht="15.75" customHeight="1" x14ac:dyDescent="0.15">
      <c r="H698" s="30"/>
      <c r="I698" s="30"/>
    </row>
    <row r="699" spans="8:9" ht="15.75" customHeight="1" x14ac:dyDescent="0.15">
      <c r="H699" s="30"/>
      <c r="I699" s="30"/>
    </row>
    <row r="700" spans="8:9" ht="15.75" customHeight="1" x14ac:dyDescent="0.15">
      <c r="H700" s="30"/>
      <c r="I700" s="30"/>
    </row>
    <row r="701" spans="8:9" ht="15.75" customHeight="1" x14ac:dyDescent="0.15">
      <c r="H701" s="30"/>
      <c r="I701" s="30"/>
    </row>
    <row r="702" spans="8:9" ht="15.75" customHeight="1" x14ac:dyDescent="0.15">
      <c r="H702" s="30"/>
      <c r="I702" s="30"/>
    </row>
    <row r="703" spans="8:9" ht="15.75" customHeight="1" x14ac:dyDescent="0.15">
      <c r="H703" s="30"/>
      <c r="I703" s="30"/>
    </row>
    <row r="704" spans="8:9" ht="15.75" customHeight="1" x14ac:dyDescent="0.15">
      <c r="H704" s="30"/>
      <c r="I704" s="30"/>
    </row>
    <row r="705" spans="8:9" ht="15.75" customHeight="1" x14ac:dyDescent="0.15">
      <c r="H705" s="30"/>
      <c r="I705" s="30"/>
    </row>
    <row r="706" spans="8:9" ht="15.75" customHeight="1" x14ac:dyDescent="0.15">
      <c r="H706" s="30"/>
      <c r="I706" s="30"/>
    </row>
    <row r="707" spans="8:9" ht="15.75" customHeight="1" x14ac:dyDescent="0.15">
      <c r="H707" s="30"/>
      <c r="I707" s="30"/>
    </row>
    <row r="708" spans="8:9" ht="15.75" customHeight="1" x14ac:dyDescent="0.15">
      <c r="H708" s="30"/>
      <c r="I708" s="30"/>
    </row>
    <row r="709" spans="8:9" ht="15.75" customHeight="1" x14ac:dyDescent="0.15">
      <c r="H709" s="30"/>
      <c r="I709" s="30"/>
    </row>
    <row r="710" spans="8:9" ht="15.75" customHeight="1" x14ac:dyDescent="0.15">
      <c r="H710" s="30"/>
      <c r="I710" s="30"/>
    </row>
    <row r="711" spans="8:9" ht="15.75" customHeight="1" x14ac:dyDescent="0.15">
      <c r="H711" s="30"/>
      <c r="I711" s="30"/>
    </row>
    <row r="712" spans="8:9" ht="15.75" customHeight="1" x14ac:dyDescent="0.15">
      <c r="H712" s="30"/>
      <c r="I712" s="30"/>
    </row>
    <row r="713" spans="8:9" ht="15.75" customHeight="1" x14ac:dyDescent="0.15">
      <c r="H713" s="30"/>
      <c r="I713" s="30"/>
    </row>
    <row r="714" spans="8:9" ht="15.75" customHeight="1" x14ac:dyDescent="0.15">
      <c r="H714" s="30"/>
      <c r="I714" s="30"/>
    </row>
    <row r="715" spans="8:9" ht="15.75" customHeight="1" x14ac:dyDescent="0.15">
      <c r="H715" s="30"/>
      <c r="I715" s="30"/>
    </row>
    <row r="716" spans="8:9" ht="15.75" customHeight="1" x14ac:dyDescent="0.15">
      <c r="H716" s="30"/>
      <c r="I716" s="30"/>
    </row>
    <row r="717" spans="8:9" ht="15.75" customHeight="1" x14ac:dyDescent="0.15">
      <c r="H717" s="30"/>
      <c r="I717" s="30"/>
    </row>
    <row r="718" spans="8:9" ht="15.75" customHeight="1" x14ac:dyDescent="0.15">
      <c r="H718" s="30"/>
      <c r="I718" s="30"/>
    </row>
    <row r="719" spans="8:9" ht="15.75" customHeight="1" x14ac:dyDescent="0.15">
      <c r="H719" s="30"/>
      <c r="I719" s="30"/>
    </row>
    <row r="720" spans="8:9" ht="15.75" customHeight="1" x14ac:dyDescent="0.15">
      <c r="H720" s="30"/>
      <c r="I720" s="30"/>
    </row>
    <row r="721" spans="8:9" ht="15.75" customHeight="1" x14ac:dyDescent="0.15">
      <c r="H721" s="30"/>
      <c r="I721" s="30"/>
    </row>
    <row r="722" spans="8:9" ht="15.75" customHeight="1" x14ac:dyDescent="0.15">
      <c r="H722" s="30"/>
      <c r="I722" s="30"/>
    </row>
    <row r="723" spans="8:9" ht="15.75" customHeight="1" x14ac:dyDescent="0.15">
      <c r="H723" s="30"/>
      <c r="I723" s="30"/>
    </row>
    <row r="724" spans="8:9" ht="15.75" customHeight="1" x14ac:dyDescent="0.15">
      <c r="H724" s="30"/>
      <c r="I724" s="30"/>
    </row>
    <row r="725" spans="8:9" ht="15.75" customHeight="1" x14ac:dyDescent="0.15">
      <c r="H725" s="30"/>
      <c r="I725" s="30"/>
    </row>
    <row r="726" spans="8:9" ht="15.75" customHeight="1" x14ac:dyDescent="0.15">
      <c r="H726" s="30"/>
      <c r="I726" s="30"/>
    </row>
    <row r="727" spans="8:9" ht="15.75" customHeight="1" x14ac:dyDescent="0.15">
      <c r="H727" s="30"/>
      <c r="I727" s="30"/>
    </row>
    <row r="728" spans="8:9" ht="15.75" customHeight="1" x14ac:dyDescent="0.15">
      <c r="H728" s="30"/>
      <c r="I728" s="30"/>
    </row>
    <row r="729" spans="8:9" ht="15.75" customHeight="1" x14ac:dyDescent="0.15">
      <c r="H729" s="30"/>
      <c r="I729" s="30"/>
    </row>
    <row r="730" spans="8:9" ht="15.75" customHeight="1" x14ac:dyDescent="0.15">
      <c r="H730" s="30"/>
      <c r="I730" s="30"/>
    </row>
    <row r="731" spans="8:9" ht="15.75" customHeight="1" x14ac:dyDescent="0.15">
      <c r="H731" s="30"/>
      <c r="I731" s="30"/>
    </row>
    <row r="732" spans="8:9" ht="15.75" customHeight="1" x14ac:dyDescent="0.15">
      <c r="H732" s="30"/>
      <c r="I732" s="30"/>
    </row>
    <row r="733" spans="8:9" ht="15.75" customHeight="1" x14ac:dyDescent="0.15">
      <c r="H733" s="30"/>
      <c r="I733" s="30"/>
    </row>
    <row r="734" spans="8:9" ht="15.75" customHeight="1" x14ac:dyDescent="0.15">
      <c r="H734" s="30"/>
      <c r="I734" s="30"/>
    </row>
    <row r="735" spans="8:9" ht="15.75" customHeight="1" x14ac:dyDescent="0.15">
      <c r="H735" s="30"/>
      <c r="I735" s="30"/>
    </row>
    <row r="736" spans="8:9" ht="15.75" customHeight="1" x14ac:dyDescent="0.15">
      <c r="H736" s="30"/>
      <c r="I736" s="30"/>
    </row>
    <row r="737" spans="8:9" ht="15.75" customHeight="1" x14ac:dyDescent="0.15">
      <c r="H737" s="30"/>
      <c r="I737" s="30"/>
    </row>
    <row r="738" spans="8:9" ht="15.75" customHeight="1" x14ac:dyDescent="0.15">
      <c r="H738" s="30"/>
      <c r="I738" s="30"/>
    </row>
    <row r="739" spans="8:9" ht="15.75" customHeight="1" x14ac:dyDescent="0.15">
      <c r="H739" s="30"/>
      <c r="I739" s="30"/>
    </row>
    <row r="740" spans="8:9" ht="15.75" customHeight="1" x14ac:dyDescent="0.15">
      <c r="H740" s="30"/>
      <c r="I740" s="30"/>
    </row>
    <row r="741" spans="8:9" ht="15.75" customHeight="1" x14ac:dyDescent="0.15">
      <c r="H741" s="30"/>
      <c r="I741" s="30"/>
    </row>
    <row r="742" spans="8:9" ht="15.75" customHeight="1" x14ac:dyDescent="0.15">
      <c r="H742" s="30"/>
      <c r="I742" s="30"/>
    </row>
    <row r="743" spans="8:9" ht="15.75" customHeight="1" x14ac:dyDescent="0.15">
      <c r="H743" s="30"/>
      <c r="I743" s="30"/>
    </row>
    <row r="744" spans="8:9" ht="15.75" customHeight="1" x14ac:dyDescent="0.15">
      <c r="H744" s="30"/>
      <c r="I744" s="30"/>
    </row>
    <row r="745" spans="8:9" ht="15.75" customHeight="1" x14ac:dyDescent="0.15">
      <c r="H745" s="30"/>
      <c r="I745" s="30"/>
    </row>
    <row r="746" spans="8:9" ht="15.75" customHeight="1" x14ac:dyDescent="0.15">
      <c r="H746" s="30"/>
      <c r="I746" s="30"/>
    </row>
    <row r="747" spans="8:9" ht="15.75" customHeight="1" x14ac:dyDescent="0.15">
      <c r="H747" s="30"/>
      <c r="I747" s="30"/>
    </row>
    <row r="748" spans="8:9" ht="15.75" customHeight="1" x14ac:dyDescent="0.15">
      <c r="H748" s="30"/>
      <c r="I748" s="30"/>
    </row>
    <row r="749" spans="8:9" ht="15.75" customHeight="1" x14ac:dyDescent="0.15">
      <c r="H749" s="30"/>
      <c r="I749" s="30"/>
    </row>
    <row r="750" spans="8:9" ht="15.75" customHeight="1" x14ac:dyDescent="0.15">
      <c r="H750" s="30"/>
      <c r="I750" s="30"/>
    </row>
    <row r="751" spans="8:9" ht="15.75" customHeight="1" x14ac:dyDescent="0.15">
      <c r="H751" s="30"/>
      <c r="I751" s="30"/>
    </row>
    <row r="752" spans="8:9" ht="15.75" customHeight="1" x14ac:dyDescent="0.15">
      <c r="H752" s="30"/>
      <c r="I752" s="30"/>
    </row>
    <row r="753" spans="8:9" ht="15.75" customHeight="1" x14ac:dyDescent="0.15">
      <c r="H753" s="30"/>
      <c r="I753" s="30"/>
    </row>
    <row r="754" spans="8:9" ht="15.75" customHeight="1" x14ac:dyDescent="0.15">
      <c r="H754" s="30"/>
      <c r="I754" s="30"/>
    </row>
    <row r="755" spans="8:9" ht="15.75" customHeight="1" x14ac:dyDescent="0.15">
      <c r="H755" s="30"/>
      <c r="I755" s="30"/>
    </row>
    <row r="756" spans="8:9" ht="15.75" customHeight="1" x14ac:dyDescent="0.15">
      <c r="H756" s="30"/>
      <c r="I756" s="30"/>
    </row>
    <row r="757" spans="8:9" ht="15.75" customHeight="1" x14ac:dyDescent="0.15">
      <c r="H757" s="30"/>
      <c r="I757" s="30"/>
    </row>
    <row r="758" spans="8:9" ht="15.75" customHeight="1" x14ac:dyDescent="0.15">
      <c r="H758" s="30"/>
      <c r="I758" s="30"/>
    </row>
    <row r="759" spans="8:9" ht="15.75" customHeight="1" x14ac:dyDescent="0.15">
      <c r="H759" s="30"/>
      <c r="I759" s="30"/>
    </row>
    <row r="760" spans="8:9" ht="15.75" customHeight="1" x14ac:dyDescent="0.15">
      <c r="H760" s="30"/>
      <c r="I760" s="30"/>
    </row>
    <row r="761" spans="8:9" ht="15.75" customHeight="1" x14ac:dyDescent="0.15">
      <c r="H761" s="30"/>
      <c r="I761" s="30"/>
    </row>
    <row r="762" spans="8:9" ht="15.75" customHeight="1" x14ac:dyDescent="0.15">
      <c r="H762" s="30"/>
      <c r="I762" s="30"/>
    </row>
    <row r="763" spans="8:9" ht="15.75" customHeight="1" x14ac:dyDescent="0.15">
      <c r="H763" s="30"/>
      <c r="I763" s="30"/>
    </row>
    <row r="764" spans="8:9" ht="15.75" customHeight="1" x14ac:dyDescent="0.15">
      <c r="H764" s="30"/>
      <c r="I764" s="30"/>
    </row>
    <row r="765" spans="8:9" ht="15.75" customHeight="1" x14ac:dyDescent="0.15">
      <c r="H765" s="30"/>
      <c r="I765" s="30"/>
    </row>
    <row r="766" spans="8:9" ht="15.75" customHeight="1" x14ac:dyDescent="0.15">
      <c r="H766" s="30"/>
      <c r="I766" s="30"/>
    </row>
    <row r="767" spans="8:9" ht="15.75" customHeight="1" x14ac:dyDescent="0.15">
      <c r="H767" s="30"/>
      <c r="I767" s="30"/>
    </row>
    <row r="768" spans="8:9" ht="15.75" customHeight="1" x14ac:dyDescent="0.15">
      <c r="H768" s="30"/>
      <c r="I768" s="30"/>
    </row>
    <row r="769" spans="8:9" ht="15.75" customHeight="1" x14ac:dyDescent="0.15">
      <c r="H769" s="30"/>
      <c r="I769" s="30"/>
    </row>
    <row r="770" spans="8:9" ht="15.75" customHeight="1" x14ac:dyDescent="0.15">
      <c r="H770" s="30"/>
      <c r="I770" s="30"/>
    </row>
    <row r="771" spans="8:9" ht="15.75" customHeight="1" x14ac:dyDescent="0.15">
      <c r="H771" s="30"/>
      <c r="I771" s="30"/>
    </row>
    <row r="772" spans="8:9" ht="15.75" customHeight="1" x14ac:dyDescent="0.15">
      <c r="H772" s="30"/>
      <c r="I772" s="30"/>
    </row>
    <row r="773" spans="8:9" ht="15.75" customHeight="1" x14ac:dyDescent="0.15">
      <c r="H773" s="30"/>
      <c r="I773" s="30"/>
    </row>
    <row r="774" spans="8:9" ht="15.75" customHeight="1" x14ac:dyDescent="0.15">
      <c r="H774" s="30"/>
      <c r="I774" s="30"/>
    </row>
    <row r="775" spans="8:9" ht="15.75" customHeight="1" x14ac:dyDescent="0.15">
      <c r="H775" s="30"/>
      <c r="I775" s="30"/>
    </row>
    <row r="776" spans="8:9" ht="15.75" customHeight="1" x14ac:dyDescent="0.15">
      <c r="H776" s="30"/>
      <c r="I776" s="30"/>
    </row>
    <row r="777" spans="8:9" ht="15.75" customHeight="1" x14ac:dyDescent="0.15">
      <c r="H777" s="30"/>
      <c r="I777" s="30"/>
    </row>
    <row r="778" spans="8:9" ht="15.75" customHeight="1" x14ac:dyDescent="0.15">
      <c r="H778" s="30"/>
      <c r="I778" s="30"/>
    </row>
    <row r="779" spans="8:9" ht="15.75" customHeight="1" x14ac:dyDescent="0.15">
      <c r="H779" s="30"/>
      <c r="I779" s="30"/>
    </row>
    <row r="780" spans="8:9" ht="15.75" customHeight="1" x14ac:dyDescent="0.15">
      <c r="H780" s="30"/>
      <c r="I780" s="30"/>
    </row>
    <row r="781" spans="8:9" ht="15.75" customHeight="1" x14ac:dyDescent="0.15">
      <c r="H781" s="30"/>
      <c r="I781" s="30"/>
    </row>
    <row r="782" spans="8:9" ht="15.75" customHeight="1" x14ac:dyDescent="0.15">
      <c r="H782" s="30"/>
      <c r="I782" s="30"/>
    </row>
    <row r="783" spans="8:9" ht="15.75" customHeight="1" x14ac:dyDescent="0.15">
      <c r="H783" s="30"/>
      <c r="I783" s="30"/>
    </row>
    <row r="784" spans="8:9" ht="15.75" customHeight="1" x14ac:dyDescent="0.15">
      <c r="H784" s="30"/>
      <c r="I784" s="30"/>
    </row>
    <row r="785" spans="8:9" ht="15.75" customHeight="1" x14ac:dyDescent="0.15">
      <c r="H785" s="30"/>
      <c r="I785" s="30"/>
    </row>
    <row r="786" spans="8:9" ht="15.75" customHeight="1" x14ac:dyDescent="0.15">
      <c r="H786" s="30"/>
      <c r="I786" s="30"/>
    </row>
    <row r="787" spans="8:9" ht="15.75" customHeight="1" x14ac:dyDescent="0.15">
      <c r="H787" s="30"/>
      <c r="I787" s="30"/>
    </row>
    <row r="788" spans="8:9" ht="15.75" customHeight="1" x14ac:dyDescent="0.15">
      <c r="H788" s="30"/>
      <c r="I788" s="30"/>
    </row>
    <row r="789" spans="8:9" ht="15.75" customHeight="1" x14ac:dyDescent="0.15">
      <c r="H789" s="30"/>
      <c r="I789" s="30"/>
    </row>
    <row r="790" spans="8:9" ht="15.75" customHeight="1" x14ac:dyDescent="0.15">
      <c r="H790" s="30"/>
      <c r="I790" s="30"/>
    </row>
    <row r="791" spans="8:9" ht="15.75" customHeight="1" x14ac:dyDescent="0.15">
      <c r="H791" s="30"/>
      <c r="I791" s="30"/>
    </row>
    <row r="792" spans="8:9" ht="15.75" customHeight="1" x14ac:dyDescent="0.15">
      <c r="H792" s="30"/>
      <c r="I792" s="30"/>
    </row>
    <row r="793" spans="8:9" ht="15.75" customHeight="1" x14ac:dyDescent="0.15">
      <c r="H793" s="30"/>
      <c r="I793" s="30"/>
    </row>
    <row r="794" spans="8:9" ht="15.75" customHeight="1" x14ac:dyDescent="0.15">
      <c r="H794" s="30"/>
      <c r="I794" s="30"/>
    </row>
    <row r="795" spans="8:9" ht="15.75" customHeight="1" x14ac:dyDescent="0.15">
      <c r="H795" s="30"/>
      <c r="I795" s="30"/>
    </row>
    <row r="796" spans="8:9" ht="15.75" customHeight="1" x14ac:dyDescent="0.15">
      <c r="H796" s="30"/>
      <c r="I796" s="30"/>
    </row>
    <row r="797" spans="8:9" ht="15.75" customHeight="1" x14ac:dyDescent="0.15">
      <c r="H797" s="30"/>
      <c r="I797" s="30"/>
    </row>
    <row r="798" spans="8:9" ht="15.75" customHeight="1" x14ac:dyDescent="0.15">
      <c r="H798" s="30"/>
      <c r="I798" s="30"/>
    </row>
    <row r="799" spans="8:9" ht="15.75" customHeight="1" x14ac:dyDescent="0.15">
      <c r="H799" s="30"/>
      <c r="I799" s="30"/>
    </row>
    <row r="800" spans="8:9" ht="15.75" customHeight="1" x14ac:dyDescent="0.15">
      <c r="H800" s="30"/>
      <c r="I800" s="30"/>
    </row>
    <row r="801" spans="8:9" ht="15.75" customHeight="1" x14ac:dyDescent="0.15">
      <c r="H801" s="30"/>
      <c r="I801" s="30"/>
    </row>
    <row r="802" spans="8:9" ht="15.75" customHeight="1" x14ac:dyDescent="0.15">
      <c r="H802" s="30"/>
      <c r="I802" s="30"/>
    </row>
    <row r="803" spans="8:9" ht="15.75" customHeight="1" x14ac:dyDescent="0.15">
      <c r="H803" s="30"/>
      <c r="I803" s="30"/>
    </row>
    <row r="804" spans="8:9" ht="15.75" customHeight="1" x14ac:dyDescent="0.15">
      <c r="H804" s="30"/>
      <c r="I804" s="30"/>
    </row>
    <row r="805" spans="8:9" ht="15.75" customHeight="1" x14ac:dyDescent="0.15">
      <c r="H805" s="30"/>
      <c r="I805" s="30"/>
    </row>
    <row r="806" spans="8:9" ht="15.75" customHeight="1" x14ac:dyDescent="0.15">
      <c r="H806" s="30"/>
      <c r="I806" s="30"/>
    </row>
    <row r="807" spans="8:9" ht="15.75" customHeight="1" x14ac:dyDescent="0.15">
      <c r="H807" s="30"/>
      <c r="I807" s="30"/>
    </row>
    <row r="808" spans="8:9" ht="15.75" customHeight="1" x14ac:dyDescent="0.15">
      <c r="H808" s="30"/>
      <c r="I808" s="30"/>
    </row>
    <row r="809" spans="8:9" ht="15.75" customHeight="1" x14ac:dyDescent="0.15">
      <c r="H809" s="30"/>
      <c r="I809" s="30"/>
    </row>
    <row r="810" spans="8:9" ht="15.75" customHeight="1" x14ac:dyDescent="0.15">
      <c r="H810" s="30"/>
      <c r="I810" s="30"/>
    </row>
    <row r="811" spans="8:9" ht="15.75" customHeight="1" x14ac:dyDescent="0.15">
      <c r="H811" s="30"/>
      <c r="I811" s="30"/>
    </row>
    <row r="812" spans="8:9" ht="15.75" customHeight="1" x14ac:dyDescent="0.15">
      <c r="H812" s="30"/>
      <c r="I812" s="30"/>
    </row>
    <row r="813" spans="8:9" ht="15.75" customHeight="1" x14ac:dyDescent="0.15">
      <c r="H813" s="30"/>
      <c r="I813" s="30"/>
    </row>
    <row r="814" spans="8:9" ht="15.75" customHeight="1" x14ac:dyDescent="0.15">
      <c r="H814" s="30"/>
      <c r="I814" s="30"/>
    </row>
    <row r="815" spans="8:9" ht="15.75" customHeight="1" x14ac:dyDescent="0.15">
      <c r="H815" s="30"/>
      <c r="I815" s="30"/>
    </row>
    <row r="816" spans="8:9" ht="15.75" customHeight="1" x14ac:dyDescent="0.15">
      <c r="H816" s="30"/>
      <c r="I816" s="30"/>
    </row>
    <row r="817" spans="8:9" ht="15.75" customHeight="1" x14ac:dyDescent="0.15">
      <c r="H817" s="30"/>
      <c r="I817" s="30"/>
    </row>
    <row r="818" spans="8:9" ht="15.75" customHeight="1" x14ac:dyDescent="0.15">
      <c r="H818" s="30"/>
      <c r="I818" s="30"/>
    </row>
    <row r="819" spans="8:9" ht="15.75" customHeight="1" x14ac:dyDescent="0.15">
      <c r="H819" s="30"/>
      <c r="I819" s="30"/>
    </row>
    <row r="820" spans="8:9" ht="15.75" customHeight="1" x14ac:dyDescent="0.15">
      <c r="H820" s="30"/>
      <c r="I820" s="30"/>
    </row>
    <row r="821" spans="8:9" ht="15.75" customHeight="1" x14ac:dyDescent="0.15">
      <c r="H821" s="30"/>
      <c r="I821" s="30"/>
    </row>
    <row r="822" spans="8:9" ht="15.75" customHeight="1" x14ac:dyDescent="0.15">
      <c r="H822" s="30"/>
      <c r="I822" s="30"/>
    </row>
    <row r="823" spans="8:9" ht="15.75" customHeight="1" x14ac:dyDescent="0.15">
      <c r="H823" s="30"/>
      <c r="I823" s="30"/>
    </row>
    <row r="824" spans="8:9" ht="15.75" customHeight="1" x14ac:dyDescent="0.15">
      <c r="H824" s="30"/>
      <c r="I824" s="30"/>
    </row>
    <row r="825" spans="8:9" ht="15.75" customHeight="1" x14ac:dyDescent="0.15">
      <c r="H825" s="30"/>
      <c r="I825" s="30"/>
    </row>
    <row r="826" spans="8:9" ht="15.75" customHeight="1" x14ac:dyDescent="0.15">
      <c r="H826" s="30"/>
      <c r="I826" s="30"/>
    </row>
    <row r="827" spans="8:9" ht="15.75" customHeight="1" x14ac:dyDescent="0.15">
      <c r="H827" s="30"/>
      <c r="I827" s="30"/>
    </row>
    <row r="828" spans="8:9" ht="15.75" customHeight="1" x14ac:dyDescent="0.15">
      <c r="H828" s="30"/>
      <c r="I828" s="30"/>
    </row>
    <row r="829" spans="8:9" ht="15.75" customHeight="1" x14ac:dyDescent="0.15">
      <c r="H829" s="30"/>
      <c r="I829" s="30"/>
    </row>
    <row r="830" spans="8:9" ht="15.75" customHeight="1" x14ac:dyDescent="0.15">
      <c r="H830" s="30"/>
      <c r="I830" s="30"/>
    </row>
    <row r="831" spans="8:9" ht="15.75" customHeight="1" x14ac:dyDescent="0.15">
      <c r="H831" s="30"/>
      <c r="I831" s="30"/>
    </row>
    <row r="832" spans="8:9" ht="15.75" customHeight="1" x14ac:dyDescent="0.15">
      <c r="H832" s="30"/>
      <c r="I832" s="30"/>
    </row>
    <row r="833" spans="8:9" ht="15.75" customHeight="1" x14ac:dyDescent="0.15">
      <c r="H833" s="30"/>
      <c r="I833" s="30"/>
    </row>
    <row r="834" spans="8:9" ht="15.75" customHeight="1" x14ac:dyDescent="0.15">
      <c r="H834" s="30"/>
      <c r="I834" s="30"/>
    </row>
    <row r="835" spans="8:9" ht="15.75" customHeight="1" x14ac:dyDescent="0.15">
      <c r="H835" s="30"/>
      <c r="I835" s="30"/>
    </row>
    <row r="836" spans="8:9" ht="15.75" customHeight="1" x14ac:dyDescent="0.15">
      <c r="H836" s="30"/>
      <c r="I836" s="30"/>
    </row>
    <row r="837" spans="8:9" ht="15.75" customHeight="1" x14ac:dyDescent="0.15">
      <c r="H837" s="30"/>
      <c r="I837" s="30"/>
    </row>
    <row r="838" spans="8:9" ht="15.75" customHeight="1" x14ac:dyDescent="0.15">
      <c r="H838" s="30"/>
      <c r="I838" s="30"/>
    </row>
    <row r="839" spans="8:9" ht="15.75" customHeight="1" x14ac:dyDescent="0.15">
      <c r="H839" s="30"/>
      <c r="I839" s="30"/>
    </row>
    <row r="840" spans="8:9" ht="15.75" customHeight="1" x14ac:dyDescent="0.15">
      <c r="H840" s="30"/>
      <c r="I840" s="30"/>
    </row>
    <row r="841" spans="8:9" ht="15.75" customHeight="1" x14ac:dyDescent="0.15">
      <c r="H841" s="30"/>
      <c r="I841" s="30"/>
    </row>
    <row r="842" spans="8:9" ht="15.75" customHeight="1" x14ac:dyDescent="0.15">
      <c r="H842" s="30"/>
      <c r="I842" s="30"/>
    </row>
    <row r="843" spans="8:9" ht="15.75" customHeight="1" x14ac:dyDescent="0.15">
      <c r="H843" s="30"/>
      <c r="I843" s="30"/>
    </row>
    <row r="844" spans="8:9" ht="15.75" customHeight="1" x14ac:dyDescent="0.15">
      <c r="H844" s="30"/>
      <c r="I844" s="30"/>
    </row>
    <row r="845" spans="8:9" ht="15.75" customHeight="1" x14ac:dyDescent="0.15">
      <c r="H845" s="30"/>
      <c r="I845" s="30"/>
    </row>
    <row r="846" spans="8:9" ht="15.75" customHeight="1" x14ac:dyDescent="0.15">
      <c r="H846" s="30"/>
      <c r="I846" s="30"/>
    </row>
    <row r="847" spans="8:9" ht="15.75" customHeight="1" x14ac:dyDescent="0.15">
      <c r="H847" s="30"/>
      <c r="I847" s="30"/>
    </row>
    <row r="848" spans="8:9" ht="15.75" customHeight="1" x14ac:dyDescent="0.15">
      <c r="H848" s="30"/>
      <c r="I848" s="30"/>
    </row>
    <row r="849" spans="8:9" ht="15.75" customHeight="1" x14ac:dyDescent="0.15">
      <c r="H849" s="30"/>
      <c r="I849" s="30"/>
    </row>
    <row r="850" spans="8:9" ht="15.75" customHeight="1" x14ac:dyDescent="0.15">
      <c r="H850" s="30"/>
      <c r="I850" s="30"/>
    </row>
    <row r="851" spans="8:9" ht="15.75" customHeight="1" x14ac:dyDescent="0.15">
      <c r="H851" s="30"/>
      <c r="I851" s="30"/>
    </row>
    <row r="852" spans="8:9" ht="15.75" customHeight="1" x14ac:dyDescent="0.15">
      <c r="H852" s="30"/>
      <c r="I852" s="30"/>
    </row>
    <row r="853" spans="8:9" ht="15.75" customHeight="1" x14ac:dyDescent="0.15">
      <c r="H853" s="30"/>
      <c r="I853" s="30"/>
    </row>
    <row r="854" spans="8:9" ht="15.75" customHeight="1" x14ac:dyDescent="0.15">
      <c r="H854" s="30"/>
      <c r="I854" s="30"/>
    </row>
    <row r="855" spans="8:9" ht="15.75" customHeight="1" x14ac:dyDescent="0.15">
      <c r="H855" s="30"/>
      <c r="I855" s="30"/>
    </row>
    <row r="856" spans="8:9" ht="15.75" customHeight="1" x14ac:dyDescent="0.15">
      <c r="H856" s="30"/>
      <c r="I856" s="30"/>
    </row>
    <row r="857" spans="8:9" ht="15.75" customHeight="1" x14ac:dyDescent="0.15">
      <c r="H857" s="30"/>
      <c r="I857" s="30"/>
    </row>
    <row r="858" spans="8:9" ht="15.75" customHeight="1" x14ac:dyDescent="0.15">
      <c r="H858" s="30"/>
      <c r="I858" s="30"/>
    </row>
    <row r="859" spans="8:9" ht="15.75" customHeight="1" x14ac:dyDescent="0.15">
      <c r="H859" s="30"/>
      <c r="I859" s="30"/>
    </row>
    <row r="860" spans="8:9" ht="15.75" customHeight="1" x14ac:dyDescent="0.15">
      <c r="H860" s="30"/>
      <c r="I860" s="30"/>
    </row>
    <row r="861" spans="8:9" ht="15.75" customHeight="1" x14ac:dyDescent="0.15">
      <c r="H861" s="30"/>
      <c r="I861" s="30"/>
    </row>
    <row r="862" spans="8:9" ht="15.75" customHeight="1" x14ac:dyDescent="0.15">
      <c r="H862" s="30"/>
      <c r="I862" s="30"/>
    </row>
    <row r="863" spans="8:9" ht="15.75" customHeight="1" x14ac:dyDescent="0.15">
      <c r="H863" s="30"/>
      <c r="I863" s="30"/>
    </row>
    <row r="864" spans="8:9" ht="15.75" customHeight="1" x14ac:dyDescent="0.15">
      <c r="H864" s="30"/>
      <c r="I864" s="30"/>
    </row>
    <row r="865" spans="8:9" ht="15.75" customHeight="1" x14ac:dyDescent="0.15">
      <c r="H865" s="30"/>
      <c r="I865" s="30"/>
    </row>
    <row r="866" spans="8:9" ht="15.75" customHeight="1" x14ac:dyDescent="0.15">
      <c r="H866" s="30"/>
      <c r="I866" s="30"/>
    </row>
    <row r="867" spans="8:9" ht="15.75" customHeight="1" x14ac:dyDescent="0.15">
      <c r="H867" s="30"/>
      <c r="I867" s="30"/>
    </row>
    <row r="868" spans="8:9" ht="15.75" customHeight="1" x14ac:dyDescent="0.15">
      <c r="H868" s="30"/>
      <c r="I868" s="30"/>
    </row>
    <row r="869" spans="8:9" ht="15.75" customHeight="1" x14ac:dyDescent="0.15">
      <c r="H869" s="30"/>
      <c r="I869" s="30"/>
    </row>
    <row r="870" spans="8:9" ht="15.75" customHeight="1" x14ac:dyDescent="0.15">
      <c r="H870" s="30"/>
      <c r="I870" s="30"/>
    </row>
    <row r="871" spans="8:9" ht="15.75" customHeight="1" x14ac:dyDescent="0.15">
      <c r="H871" s="30"/>
      <c r="I871" s="30"/>
    </row>
    <row r="872" spans="8:9" ht="15.75" customHeight="1" x14ac:dyDescent="0.15">
      <c r="H872" s="30"/>
      <c r="I872" s="30"/>
    </row>
    <row r="873" spans="8:9" ht="15.75" customHeight="1" x14ac:dyDescent="0.15">
      <c r="H873" s="30"/>
      <c r="I873" s="30"/>
    </row>
    <row r="874" spans="8:9" ht="15.75" customHeight="1" x14ac:dyDescent="0.15">
      <c r="H874" s="30"/>
      <c r="I874" s="30"/>
    </row>
    <row r="875" spans="8:9" ht="15.75" customHeight="1" x14ac:dyDescent="0.15">
      <c r="H875" s="30"/>
      <c r="I875" s="30"/>
    </row>
    <row r="876" spans="8:9" ht="15.75" customHeight="1" x14ac:dyDescent="0.15">
      <c r="H876" s="30"/>
      <c r="I876" s="30"/>
    </row>
    <row r="877" spans="8:9" ht="15.75" customHeight="1" x14ac:dyDescent="0.15">
      <c r="H877" s="30"/>
      <c r="I877" s="30"/>
    </row>
    <row r="878" spans="8:9" ht="15.75" customHeight="1" x14ac:dyDescent="0.15">
      <c r="H878" s="30"/>
      <c r="I878" s="30"/>
    </row>
    <row r="879" spans="8:9" ht="15.75" customHeight="1" x14ac:dyDescent="0.15">
      <c r="H879" s="30"/>
      <c r="I879" s="30"/>
    </row>
    <row r="880" spans="8:9" ht="15.75" customHeight="1" x14ac:dyDescent="0.15">
      <c r="H880" s="30"/>
      <c r="I880" s="30"/>
    </row>
    <row r="881" spans="8:9" ht="15.75" customHeight="1" x14ac:dyDescent="0.15">
      <c r="H881" s="30"/>
      <c r="I881" s="30"/>
    </row>
    <row r="882" spans="8:9" ht="15.75" customHeight="1" x14ac:dyDescent="0.15">
      <c r="H882" s="30"/>
      <c r="I882" s="30"/>
    </row>
    <row r="883" spans="8:9" ht="15.75" customHeight="1" x14ac:dyDescent="0.15">
      <c r="H883" s="30"/>
      <c r="I883" s="30"/>
    </row>
    <row r="884" spans="8:9" ht="15.75" customHeight="1" x14ac:dyDescent="0.15">
      <c r="H884" s="30"/>
      <c r="I884" s="30"/>
    </row>
    <row r="885" spans="8:9" ht="15.75" customHeight="1" x14ac:dyDescent="0.15">
      <c r="H885" s="30"/>
      <c r="I885" s="30"/>
    </row>
    <row r="886" spans="8:9" ht="15.75" customHeight="1" x14ac:dyDescent="0.15">
      <c r="H886" s="30"/>
      <c r="I886" s="30"/>
    </row>
    <row r="887" spans="8:9" ht="15.75" customHeight="1" x14ac:dyDescent="0.15">
      <c r="H887" s="30"/>
      <c r="I887" s="30"/>
    </row>
    <row r="888" spans="8:9" ht="15.75" customHeight="1" x14ac:dyDescent="0.15">
      <c r="H888" s="30"/>
      <c r="I888" s="30"/>
    </row>
    <row r="889" spans="8:9" ht="15.75" customHeight="1" x14ac:dyDescent="0.15">
      <c r="H889" s="30"/>
      <c r="I889" s="30"/>
    </row>
    <row r="890" spans="8:9" ht="15.75" customHeight="1" x14ac:dyDescent="0.15">
      <c r="H890" s="30"/>
      <c r="I890" s="30"/>
    </row>
    <row r="891" spans="8:9" ht="15.75" customHeight="1" x14ac:dyDescent="0.15">
      <c r="H891" s="30"/>
      <c r="I891" s="30"/>
    </row>
    <row r="892" spans="8:9" ht="15.75" customHeight="1" x14ac:dyDescent="0.15">
      <c r="H892" s="30"/>
      <c r="I892" s="30"/>
    </row>
    <row r="893" spans="8:9" ht="15.75" customHeight="1" x14ac:dyDescent="0.15">
      <c r="H893" s="30"/>
      <c r="I893" s="30"/>
    </row>
    <row r="894" spans="8:9" ht="15.75" customHeight="1" x14ac:dyDescent="0.15">
      <c r="H894" s="30"/>
      <c r="I894" s="30"/>
    </row>
    <row r="895" spans="8:9" ht="15.75" customHeight="1" x14ac:dyDescent="0.15">
      <c r="H895" s="30"/>
      <c r="I895" s="30"/>
    </row>
    <row r="896" spans="8:9" ht="15.75" customHeight="1" x14ac:dyDescent="0.15">
      <c r="H896" s="30"/>
      <c r="I896" s="30"/>
    </row>
    <row r="897" spans="8:9" ht="15.75" customHeight="1" x14ac:dyDescent="0.15">
      <c r="H897" s="30"/>
      <c r="I897" s="30"/>
    </row>
    <row r="898" spans="8:9" ht="15.75" customHeight="1" x14ac:dyDescent="0.15">
      <c r="H898" s="30"/>
      <c r="I898" s="30"/>
    </row>
    <row r="899" spans="8:9" ht="15.75" customHeight="1" x14ac:dyDescent="0.15">
      <c r="H899" s="30"/>
      <c r="I899" s="30"/>
    </row>
    <row r="900" spans="8:9" ht="15.75" customHeight="1" x14ac:dyDescent="0.15">
      <c r="H900" s="30"/>
      <c r="I900" s="30"/>
    </row>
    <row r="901" spans="8:9" ht="15.75" customHeight="1" x14ac:dyDescent="0.15">
      <c r="H901" s="30"/>
      <c r="I901" s="30"/>
    </row>
    <row r="902" spans="8:9" ht="15.75" customHeight="1" x14ac:dyDescent="0.15">
      <c r="H902" s="30"/>
      <c r="I902" s="30"/>
    </row>
    <row r="903" spans="8:9" ht="15.75" customHeight="1" x14ac:dyDescent="0.15">
      <c r="H903" s="30"/>
      <c r="I903" s="30"/>
    </row>
    <row r="904" spans="8:9" ht="15.75" customHeight="1" x14ac:dyDescent="0.15">
      <c r="H904" s="30"/>
      <c r="I904" s="30"/>
    </row>
    <row r="905" spans="8:9" ht="15.75" customHeight="1" x14ac:dyDescent="0.15">
      <c r="H905" s="30"/>
      <c r="I905" s="30"/>
    </row>
    <row r="906" spans="8:9" ht="15.75" customHeight="1" x14ac:dyDescent="0.15">
      <c r="H906" s="30"/>
      <c r="I906" s="30"/>
    </row>
    <row r="907" spans="8:9" ht="15.75" customHeight="1" x14ac:dyDescent="0.15">
      <c r="H907" s="30"/>
      <c r="I907" s="30"/>
    </row>
    <row r="908" spans="8:9" ht="15.75" customHeight="1" x14ac:dyDescent="0.15">
      <c r="H908" s="30"/>
      <c r="I908" s="30"/>
    </row>
    <row r="909" spans="8:9" ht="15.75" customHeight="1" x14ac:dyDescent="0.15">
      <c r="H909" s="30"/>
      <c r="I909" s="30"/>
    </row>
    <row r="910" spans="8:9" ht="15.75" customHeight="1" x14ac:dyDescent="0.15">
      <c r="H910" s="30"/>
      <c r="I910" s="30"/>
    </row>
    <row r="911" spans="8:9" ht="15.75" customHeight="1" x14ac:dyDescent="0.15">
      <c r="H911" s="30"/>
      <c r="I911" s="30"/>
    </row>
    <row r="912" spans="8:9" ht="15.75" customHeight="1" x14ac:dyDescent="0.15">
      <c r="H912" s="30"/>
      <c r="I912" s="30"/>
    </row>
    <row r="913" spans="8:9" ht="15.75" customHeight="1" x14ac:dyDescent="0.15">
      <c r="H913" s="30"/>
      <c r="I913" s="30"/>
    </row>
    <row r="914" spans="8:9" ht="15.75" customHeight="1" x14ac:dyDescent="0.15">
      <c r="H914" s="30"/>
      <c r="I914" s="30"/>
    </row>
    <row r="915" spans="8:9" ht="15.75" customHeight="1" x14ac:dyDescent="0.15">
      <c r="H915" s="30"/>
      <c r="I915" s="30"/>
    </row>
    <row r="916" spans="8:9" ht="15.75" customHeight="1" x14ac:dyDescent="0.15">
      <c r="H916" s="30"/>
      <c r="I916" s="30"/>
    </row>
    <row r="917" spans="8:9" ht="15.75" customHeight="1" x14ac:dyDescent="0.15">
      <c r="H917" s="30"/>
      <c r="I917" s="30"/>
    </row>
    <row r="918" spans="8:9" ht="15.75" customHeight="1" x14ac:dyDescent="0.15">
      <c r="H918" s="30"/>
      <c r="I918" s="30"/>
    </row>
    <row r="919" spans="8:9" ht="15.75" customHeight="1" x14ac:dyDescent="0.15">
      <c r="H919" s="30"/>
      <c r="I919" s="30"/>
    </row>
    <row r="920" spans="8:9" ht="15.75" customHeight="1" x14ac:dyDescent="0.15">
      <c r="H920" s="30"/>
      <c r="I920" s="30"/>
    </row>
    <row r="921" spans="8:9" ht="15.75" customHeight="1" x14ac:dyDescent="0.15">
      <c r="H921" s="30"/>
      <c r="I921" s="30"/>
    </row>
    <row r="922" spans="8:9" ht="15.75" customHeight="1" x14ac:dyDescent="0.15">
      <c r="H922" s="30"/>
      <c r="I922" s="30"/>
    </row>
    <row r="923" spans="8:9" ht="15.75" customHeight="1" x14ac:dyDescent="0.15">
      <c r="H923" s="30"/>
      <c r="I923" s="30"/>
    </row>
    <row r="924" spans="8:9" ht="15.75" customHeight="1" x14ac:dyDescent="0.15">
      <c r="H924" s="30"/>
      <c r="I924" s="30"/>
    </row>
    <row r="925" spans="8:9" ht="15.75" customHeight="1" x14ac:dyDescent="0.15">
      <c r="H925" s="30"/>
      <c r="I925" s="30"/>
    </row>
    <row r="926" spans="8:9" ht="15.75" customHeight="1" x14ac:dyDescent="0.15">
      <c r="H926" s="30"/>
      <c r="I926" s="30"/>
    </row>
    <row r="927" spans="8:9" ht="15.75" customHeight="1" x14ac:dyDescent="0.15">
      <c r="H927" s="30"/>
      <c r="I927" s="30"/>
    </row>
    <row r="928" spans="8:9" ht="15.75" customHeight="1" x14ac:dyDescent="0.15">
      <c r="H928" s="30"/>
      <c r="I928" s="30"/>
    </row>
    <row r="929" spans="8:9" ht="15.75" customHeight="1" x14ac:dyDescent="0.15">
      <c r="H929" s="30"/>
      <c r="I929" s="30"/>
    </row>
    <row r="930" spans="8:9" ht="15.75" customHeight="1" x14ac:dyDescent="0.15">
      <c r="H930" s="30"/>
      <c r="I930" s="30"/>
    </row>
    <row r="931" spans="8:9" ht="15.75" customHeight="1" x14ac:dyDescent="0.15">
      <c r="H931" s="30"/>
      <c r="I931" s="30"/>
    </row>
    <row r="932" spans="8:9" ht="15.75" customHeight="1" x14ac:dyDescent="0.15">
      <c r="H932" s="30"/>
      <c r="I932" s="30"/>
    </row>
    <row r="933" spans="8:9" ht="15.75" customHeight="1" x14ac:dyDescent="0.15">
      <c r="H933" s="30"/>
      <c r="I933" s="30"/>
    </row>
    <row r="934" spans="8:9" ht="15.75" customHeight="1" x14ac:dyDescent="0.15">
      <c r="H934" s="30"/>
      <c r="I934" s="30"/>
    </row>
    <row r="935" spans="8:9" ht="15.75" customHeight="1" x14ac:dyDescent="0.15">
      <c r="H935" s="30"/>
      <c r="I935" s="30"/>
    </row>
    <row r="936" spans="8:9" ht="15.75" customHeight="1" x14ac:dyDescent="0.15">
      <c r="H936" s="30"/>
      <c r="I936" s="30"/>
    </row>
    <row r="937" spans="8:9" ht="15.75" customHeight="1" x14ac:dyDescent="0.15">
      <c r="H937" s="30"/>
      <c r="I937" s="30"/>
    </row>
    <row r="938" spans="8:9" ht="15.75" customHeight="1" x14ac:dyDescent="0.15">
      <c r="H938" s="30"/>
      <c r="I938" s="30"/>
    </row>
    <row r="939" spans="8:9" ht="15.75" customHeight="1" x14ac:dyDescent="0.15">
      <c r="H939" s="30"/>
      <c r="I939" s="30"/>
    </row>
    <row r="940" spans="8:9" ht="15.75" customHeight="1" x14ac:dyDescent="0.15">
      <c r="H940" s="30"/>
      <c r="I940" s="30"/>
    </row>
    <row r="941" spans="8:9" ht="15.75" customHeight="1" x14ac:dyDescent="0.15">
      <c r="H941" s="30"/>
      <c r="I941" s="30"/>
    </row>
    <row r="942" spans="8:9" ht="15.75" customHeight="1" x14ac:dyDescent="0.15">
      <c r="H942" s="30"/>
      <c r="I942" s="30"/>
    </row>
    <row r="943" spans="8:9" ht="15.75" customHeight="1" x14ac:dyDescent="0.15">
      <c r="H943" s="30"/>
      <c r="I943" s="30"/>
    </row>
    <row r="944" spans="8:9" ht="15.75" customHeight="1" x14ac:dyDescent="0.15">
      <c r="H944" s="30"/>
      <c r="I944" s="30"/>
    </row>
    <row r="945" spans="8:9" ht="15.75" customHeight="1" x14ac:dyDescent="0.15">
      <c r="H945" s="30"/>
      <c r="I945" s="30"/>
    </row>
    <row r="946" spans="8:9" ht="15.75" customHeight="1" x14ac:dyDescent="0.15">
      <c r="H946" s="30"/>
      <c r="I946" s="30"/>
    </row>
    <row r="947" spans="8:9" ht="15.75" customHeight="1" x14ac:dyDescent="0.15">
      <c r="H947" s="30"/>
      <c r="I947" s="30"/>
    </row>
    <row r="948" spans="8:9" ht="15.75" customHeight="1" x14ac:dyDescent="0.15">
      <c r="H948" s="30"/>
      <c r="I948" s="30"/>
    </row>
    <row r="949" spans="8:9" ht="15.75" customHeight="1" x14ac:dyDescent="0.15">
      <c r="H949" s="30"/>
      <c r="I949" s="30"/>
    </row>
    <row r="950" spans="8:9" ht="15.75" customHeight="1" x14ac:dyDescent="0.15">
      <c r="H950" s="30"/>
      <c r="I950" s="30"/>
    </row>
    <row r="951" spans="8:9" ht="15.75" customHeight="1" x14ac:dyDescent="0.15">
      <c r="H951" s="30"/>
      <c r="I951" s="30"/>
    </row>
    <row r="952" spans="8:9" ht="15.75" customHeight="1" x14ac:dyDescent="0.15">
      <c r="H952" s="30"/>
      <c r="I952" s="30"/>
    </row>
    <row r="953" spans="8:9" ht="15.75" customHeight="1" x14ac:dyDescent="0.15">
      <c r="H953" s="30"/>
      <c r="I953" s="30"/>
    </row>
    <row r="954" spans="8:9" ht="15.75" customHeight="1" x14ac:dyDescent="0.15">
      <c r="H954" s="30"/>
      <c r="I954" s="30"/>
    </row>
    <row r="955" spans="8:9" ht="15.75" customHeight="1" x14ac:dyDescent="0.15">
      <c r="H955" s="30"/>
      <c r="I955" s="30"/>
    </row>
    <row r="956" spans="8:9" ht="15.75" customHeight="1" x14ac:dyDescent="0.15">
      <c r="H956" s="30"/>
      <c r="I956" s="30"/>
    </row>
    <row r="957" spans="8:9" ht="15.75" customHeight="1" x14ac:dyDescent="0.15">
      <c r="H957" s="30"/>
      <c r="I957" s="30"/>
    </row>
    <row r="958" spans="8:9" ht="15.75" customHeight="1" x14ac:dyDescent="0.15">
      <c r="H958" s="30"/>
      <c r="I958" s="30"/>
    </row>
    <row r="959" spans="8:9" ht="15.75" customHeight="1" x14ac:dyDescent="0.15">
      <c r="H959" s="30"/>
      <c r="I959" s="30"/>
    </row>
    <row r="960" spans="8:9" ht="15.75" customHeight="1" x14ac:dyDescent="0.15">
      <c r="H960" s="30"/>
      <c r="I960" s="30"/>
    </row>
    <row r="961" spans="8:9" ht="15.75" customHeight="1" x14ac:dyDescent="0.15">
      <c r="H961" s="30"/>
      <c r="I961" s="30"/>
    </row>
    <row r="962" spans="8:9" ht="15.75" customHeight="1" x14ac:dyDescent="0.15">
      <c r="H962" s="30"/>
      <c r="I962" s="30"/>
    </row>
    <row r="963" spans="8:9" ht="15.75" customHeight="1" x14ac:dyDescent="0.15">
      <c r="H963" s="30"/>
      <c r="I963" s="30"/>
    </row>
    <row r="964" spans="8:9" ht="15.75" customHeight="1" x14ac:dyDescent="0.15">
      <c r="H964" s="30"/>
      <c r="I964" s="30"/>
    </row>
    <row r="965" spans="8:9" ht="15.75" customHeight="1" x14ac:dyDescent="0.15">
      <c r="H965" s="30"/>
      <c r="I965" s="30"/>
    </row>
    <row r="966" spans="8:9" ht="15.75" customHeight="1" x14ac:dyDescent="0.15">
      <c r="H966" s="30"/>
      <c r="I966" s="30"/>
    </row>
    <row r="967" spans="8:9" ht="15.75" customHeight="1" x14ac:dyDescent="0.15">
      <c r="H967" s="30"/>
      <c r="I967" s="30"/>
    </row>
    <row r="968" spans="8:9" ht="15.75" customHeight="1" x14ac:dyDescent="0.15">
      <c r="H968" s="30"/>
      <c r="I968" s="30"/>
    </row>
    <row r="969" spans="8:9" ht="15.75" customHeight="1" x14ac:dyDescent="0.15">
      <c r="H969" s="30"/>
      <c r="I969" s="30"/>
    </row>
    <row r="970" spans="8:9" ht="15.75" customHeight="1" x14ac:dyDescent="0.15">
      <c r="H970" s="30"/>
      <c r="I970" s="30"/>
    </row>
    <row r="971" spans="8:9" ht="15.75" customHeight="1" x14ac:dyDescent="0.15">
      <c r="H971" s="30"/>
      <c r="I971" s="30"/>
    </row>
    <row r="972" spans="8:9" ht="15.75" customHeight="1" x14ac:dyDescent="0.15">
      <c r="H972" s="30"/>
      <c r="I972" s="30"/>
    </row>
    <row r="973" spans="8:9" ht="15.75" customHeight="1" x14ac:dyDescent="0.15">
      <c r="H973" s="30"/>
      <c r="I973" s="30"/>
    </row>
    <row r="974" spans="8:9" ht="15.75" customHeight="1" x14ac:dyDescent="0.15">
      <c r="H974" s="30"/>
      <c r="I974" s="30"/>
    </row>
    <row r="975" spans="8:9" ht="15.75" customHeight="1" x14ac:dyDescent="0.15">
      <c r="H975" s="30"/>
      <c r="I975" s="30"/>
    </row>
    <row r="976" spans="8:9" ht="15.75" customHeight="1" x14ac:dyDescent="0.15">
      <c r="H976" s="30"/>
      <c r="I976" s="30"/>
    </row>
    <row r="977" spans="8:9" ht="15.75" customHeight="1" x14ac:dyDescent="0.15">
      <c r="H977" s="30"/>
      <c r="I977" s="30"/>
    </row>
    <row r="978" spans="8:9" ht="15.75" customHeight="1" x14ac:dyDescent="0.15">
      <c r="H978" s="30"/>
      <c r="I978" s="30"/>
    </row>
    <row r="979" spans="8:9" ht="15.75" customHeight="1" x14ac:dyDescent="0.15">
      <c r="H979" s="30"/>
      <c r="I979" s="30"/>
    </row>
    <row r="980" spans="8:9" ht="15.75" customHeight="1" x14ac:dyDescent="0.15">
      <c r="H980" s="30"/>
      <c r="I980" s="30"/>
    </row>
    <row r="981" spans="8:9" ht="15.75" customHeight="1" x14ac:dyDescent="0.15">
      <c r="H981" s="30"/>
      <c r="I981" s="30"/>
    </row>
    <row r="982" spans="8:9" ht="15.75" customHeight="1" x14ac:dyDescent="0.15">
      <c r="H982" s="30"/>
      <c r="I982" s="30"/>
    </row>
    <row r="983" spans="8:9" ht="15.75" customHeight="1" x14ac:dyDescent="0.15">
      <c r="H983" s="30"/>
      <c r="I983" s="30"/>
    </row>
    <row r="984" spans="8:9" ht="15.75" customHeight="1" x14ac:dyDescent="0.15">
      <c r="H984" s="30"/>
      <c r="I984" s="30"/>
    </row>
    <row r="985" spans="8:9" ht="15.75" customHeight="1" x14ac:dyDescent="0.15">
      <c r="H985" s="30"/>
      <c r="I985" s="30"/>
    </row>
    <row r="986" spans="8:9" ht="15.75" customHeight="1" x14ac:dyDescent="0.15">
      <c r="H986" s="30"/>
      <c r="I986" s="30"/>
    </row>
    <row r="987" spans="8:9" ht="15.75" customHeight="1" x14ac:dyDescent="0.15">
      <c r="H987" s="30"/>
      <c r="I987" s="30"/>
    </row>
    <row r="988" spans="8:9" ht="15.75" customHeight="1" x14ac:dyDescent="0.15">
      <c r="H988" s="30"/>
      <c r="I988" s="30"/>
    </row>
    <row r="989" spans="8:9" ht="15.75" customHeight="1" x14ac:dyDescent="0.15">
      <c r="H989" s="30"/>
      <c r="I989" s="30"/>
    </row>
    <row r="990" spans="8:9" ht="15.75" customHeight="1" x14ac:dyDescent="0.15">
      <c r="H990" s="30"/>
      <c r="I990" s="30"/>
    </row>
    <row r="991" spans="8:9" ht="15.75" customHeight="1" x14ac:dyDescent="0.15">
      <c r="H991" s="30"/>
      <c r="I991" s="30"/>
    </row>
    <row r="992" spans="8:9" ht="15.75" customHeight="1" x14ac:dyDescent="0.15">
      <c r="H992" s="30"/>
      <c r="I992" s="30"/>
    </row>
    <row r="993" spans="8:9" ht="15.75" customHeight="1" x14ac:dyDescent="0.15">
      <c r="H993" s="30"/>
      <c r="I993" s="30"/>
    </row>
    <row r="994" spans="8:9" ht="15.75" customHeight="1" x14ac:dyDescent="0.15">
      <c r="H994" s="30"/>
      <c r="I994" s="30"/>
    </row>
    <row r="995" spans="8:9" ht="15.75" customHeight="1" x14ac:dyDescent="0.15">
      <c r="H995" s="30"/>
      <c r="I995" s="30"/>
    </row>
    <row r="996" spans="8:9" ht="15.75" customHeight="1" x14ac:dyDescent="0.15">
      <c r="H996" s="30"/>
      <c r="I996" s="30"/>
    </row>
    <row r="997" spans="8:9" ht="15.75" customHeight="1" x14ac:dyDescent="0.15">
      <c r="H997" s="30"/>
      <c r="I997" s="30"/>
    </row>
    <row r="998" spans="8:9" ht="15.75" customHeight="1" x14ac:dyDescent="0.15">
      <c r="H998" s="30"/>
      <c r="I998" s="30"/>
    </row>
    <row r="999" spans="8:9" ht="15.75" customHeight="1" x14ac:dyDescent="0.15">
      <c r="H999" s="30"/>
      <c r="I999" s="30"/>
    </row>
    <row r="1000" spans="8:9" ht="15.75" customHeight="1" x14ac:dyDescent="0.15">
      <c r="H1000" s="30"/>
      <c r="I1000" s="30"/>
    </row>
  </sheetData>
  <conditionalFormatting sqref="C20:F10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decimal" allowBlank="1" showInputMessage="1" prompt="Input value btw 18 and 120_x000a_" sqref="I1:I1000" xr:uid="{00000000-0002-0000-0500-000000000000}">
      <formula1>18</formula1>
      <formula2>120</formula2>
    </dataValidation>
    <dataValidation type="custom" allowBlank="1" showErrorMessage="1" sqref="H1:H1000" xr:uid="{00000000-0002-0000-0500-000001000000}">
      <formula1>AND(GTE(LEN(H1),MIN((2),(50))),LTE(LEN(H1),MAX((2),(50))))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5B9F"/>
  </sheetPr>
  <dimension ref="A1:Z1000"/>
  <sheetViews>
    <sheetView workbookViewId="0"/>
  </sheetViews>
  <sheetFormatPr defaultColWidth="12.625" defaultRowHeight="15" customHeight="1" x14ac:dyDescent="0.15"/>
  <cols>
    <col min="1" max="1" width="9.8046875" customWidth="1"/>
    <col min="2" max="2" width="11.5234375" customWidth="1"/>
    <col min="3" max="3" width="13.359375" customWidth="1"/>
    <col min="4" max="4" width="10.54296875" customWidth="1"/>
    <col min="5" max="5" width="8.578125" customWidth="1"/>
    <col min="6" max="6" width="10.6640625" customWidth="1"/>
    <col min="7" max="8" width="14.46484375" customWidth="1"/>
    <col min="9" max="9" width="13.484375" customWidth="1"/>
    <col min="10" max="11" width="16.546875" customWidth="1"/>
    <col min="12" max="12" width="15.56640625" customWidth="1"/>
    <col min="13" max="24" width="8.703125" customWidth="1"/>
  </cols>
  <sheetData>
    <row r="1" spans="1:26" ht="14.25" customHeight="1" x14ac:dyDescent="0.15">
      <c r="A1" s="34" t="s">
        <v>86</v>
      </c>
      <c r="B1" s="34" t="s">
        <v>87</v>
      </c>
      <c r="C1" s="34" t="s">
        <v>88</v>
      </c>
      <c r="D1" s="34" t="s">
        <v>64</v>
      </c>
      <c r="E1" s="34" t="s">
        <v>65</v>
      </c>
      <c r="F1" s="35" t="s">
        <v>66</v>
      </c>
      <c r="G1" s="34" t="s">
        <v>67</v>
      </c>
      <c r="H1" s="25"/>
      <c r="I1" s="25"/>
      <c r="J1" s="25"/>
      <c r="K1" s="25"/>
      <c r="L1" s="25"/>
      <c r="X1" s="36"/>
    </row>
    <row r="2" spans="1:26" ht="14.25" customHeight="1" x14ac:dyDescent="0.15">
      <c r="A2" s="34" t="s">
        <v>89</v>
      </c>
      <c r="B2" s="34" t="s">
        <v>90</v>
      </c>
      <c r="C2" s="34">
        <v>45204.900046296301</v>
      </c>
      <c r="D2" s="34" t="s">
        <v>85</v>
      </c>
      <c r="E2" s="37">
        <v>63512</v>
      </c>
      <c r="F2" s="38">
        <v>4000</v>
      </c>
      <c r="G2" s="39">
        <v>3000</v>
      </c>
      <c r="I2" s="40"/>
      <c r="J2" s="25" t="s">
        <v>91</v>
      </c>
      <c r="K2" s="25"/>
      <c r="L2" s="25" t="s">
        <v>92</v>
      </c>
    </row>
    <row r="3" spans="1:26" ht="14.25" customHeight="1" x14ac:dyDescent="0.15">
      <c r="A3" s="34" t="s">
        <v>93</v>
      </c>
      <c r="B3" s="34" t="s">
        <v>94</v>
      </c>
      <c r="C3" s="34">
        <v>45202.672743055598</v>
      </c>
      <c r="D3" s="34" t="s">
        <v>75</v>
      </c>
      <c r="E3" s="37">
        <v>75006</v>
      </c>
      <c r="F3" s="38">
        <v>2198</v>
      </c>
      <c r="G3" s="39">
        <v>1900</v>
      </c>
      <c r="H3" s="41"/>
      <c r="I3" s="28" t="s">
        <v>95</v>
      </c>
    </row>
    <row r="4" spans="1:26" ht="14.25" customHeight="1" x14ac:dyDescent="0.15">
      <c r="A4" s="34" t="s">
        <v>96</v>
      </c>
      <c r="B4" s="34" t="s">
        <v>97</v>
      </c>
      <c r="C4" s="34">
        <v>45202.502025463</v>
      </c>
      <c r="D4" s="34" t="s">
        <v>77</v>
      </c>
      <c r="E4" s="37">
        <v>69847</v>
      </c>
      <c r="F4" s="38">
        <v>3826</v>
      </c>
      <c r="G4" s="39">
        <v>3000</v>
      </c>
      <c r="H4" s="41"/>
    </row>
    <row r="5" spans="1:26" ht="14.25" customHeight="1" x14ac:dyDescent="0.15">
      <c r="A5" s="34" t="s">
        <v>98</v>
      </c>
      <c r="B5" s="34" t="s">
        <v>99</v>
      </c>
      <c r="C5" s="34">
        <v>45196.466805555603</v>
      </c>
      <c r="D5" s="34" t="s">
        <v>75</v>
      </c>
      <c r="E5" s="37">
        <v>89073</v>
      </c>
      <c r="F5" s="38">
        <v>3950</v>
      </c>
      <c r="G5" s="39">
        <v>3000</v>
      </c>
      <c r="H5" s="41"/>
      <c r="I5" s="28" t="s">
        <v>100</v>
      </c>
    </row>
    <row r="6" spans="1:26" ht="14.25" customHeight="1" x14ac:dyDescent="0.15">
      <c r="A6" s="35" t="s">
        <v>101</v>
      </c>
      <c r="B6" s="35" t="s">
        <v>102</v>
      </c>
      <c r="C6" s="35">
        <v>45194.702152777798</v>
      </c>
      <c r="D6" s="35" t="s">
        <v>77</v>
      </c>
      <c r="E6" s="42">
        <v>109231</v>
      </c>
      <c r="F6" s="38">
        <v>4959</v>
      </c>
      <c r="G6" s="38">
        <v>4500</v>
      </c>
      <c r="H6" s="38"/>
      <c r="I6" s="35" t="s">
        <v>103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4.25" customHeight="1" x14ac:dyDescent="0.15">
      <c r="A7" s="34" t="s">
        <v>104</v>
      </c>
      <c r="B7" s="34" t="s">
        <v>105</v>
      </c>
      <c r="C7" s="34">
        <v>45182.672129629602</v>
      </c>
      <c r="D7" s="34" t="s">
        <v>106</v>
      </c>
      <c r="E7" s="37">
        <v>34853</v>
      </c>
      <c r="F7" s="38">
        <v>4349</v>
      </c>
      <c r="G7" s="39">
        <v>3500</v>
      </c>
      <c r="H7" s="41"/>
    </row>
    <row r="8" spans="1:26" ht="14.25" customHeight="1" x14ac:dyDescent="0.15">
      <c r="F8" s="35"/>
      <c r="J8" s="25" t="s">
        <v>107</v>
      </c>
      <c r="L8" s="25" t="s">
        <v>108</v>
      </c>
    </row>
    <row r="9" spans="1:26" ht="14.25" customHeight="1" x14ac:dyDescent="0.15">
      <c r="F9" s="35"/>
    </row>
    <row r="10" spans="1:26" ht="14.25" customHeight="1" x14ac:dyDescent="0.15">
      <c r="F10" s="35"/>
    </row>
    <row r="11" spans="1:26" ht="14.25" customHeight="1" x14ac:dyDescent="0.15">
      <c r="F11" s="35"/>
    </row>
    <row r="12" spans="1:26" ht="14.25" customHeight="1" x14ac:dyDescent="0.15">
      <c r="F12" s="35"/>
    </row>
    <row r="13" spans="1:26" ht="14.25" customHeight="1" x14ac:dyDescent="0.15">
      <c r="F13" s="35"/>
    </row>
    <row r="14" spans="1:26" ht="14.25" customHeight="1" x14ac:dyDescent="0.15">
      <c r="F14" s="35"/>
    </row>
    <row r="15" spans="1:26" ht="14.25" customHeight="1" x14ac:dyDescent="0.15">
      <c r="F15" s="35"/>
      <c r="J15" s="25"/>
    </row>
    <row r="16" spans="1:26" ht="14.25" customHeight="1" x14ac:dyDescent="0.15">
      <c r="F16" s="35"/>
      <c r="J16" s="25"/>
    </row>
    <row r="17" spans="1:8" ht="14.25" customHeight="1" x14ac:dyDescent="0.15">
      <c r="C17" s="28"/>
      <c r="F17" s="35"/>
    </row>
    <row r="18" spans="1:8" ht="14.25" customHeight="1" x14ac:dyDescent="0.15">
      <c r="A18" s="34" t="str">
        <f t="array" ref="A18:G24">TRANSPOSE(A1:G7)</f>
        <v>Car</v>
      </c>
      <c r="B18" s="34" t="str">
        <v>Honda</v>
      </c>
      <c r="C18" s="34" t="str">
        <v>Toyota</v>
      </c>
      <c r="D18" s="34" t="str">
        <v>Nissan</v>
      </c>
      <c r="E18" s="34" t="str">
        <v>Ford</v>
      </c>
      <c r="F18" s="35" t="str">
        <v>Chevrolet</v>
      </c>
      <c r="G18" s="34" t="str">
        <v>Dodge</v>
      </c>
    </row>
    <row r="19" spans="1:8" ht="14.25" customHeight="1" x14ac:dyDescent="0.15">
      <c r="A19" s="34" t="str">
        <v>Model</v>
      </c>
      <c r="B19" s="34" t="str">
        <v>Accord</v>
      </c>
      <c r="C19" s="34" t="str">
        <v>Camry</v>
      </c>
      <c r="D19" s="34" t="str">
        <v>Altima</v>
      </c>
      <c r="E19" s="34" t="str">
        <v>F-150</v>
      </c>
      <c r="F19" s="35" t="str">
        <v>Silverado</v>
      </c>
      <c r="G19" s="34" t="str">
        <v>Charger</v>
      </c>
      <c r="H19" s="28"/>
    </row>
    <row r="20" spans="1:8" ht="14.25" customHeight="1" x14ac:dyDescent="0.15">
      <c r="A20" s="34" t="str">
        <v>Date</v>
      </c>
      <c r="B20" s="34">
        <v>45204.900046296301</v>
      </c>
      <c r="C20" s="34">
        <v>45202.672743055598</v>
      </c>
      <c r="D20" s="34">
        <v>45202.502025463</v>
      </c>
      <c r="E20" s="34">
        <v>45196.466805555603</v>
      </c>
      <c r="F20" s="35">
        <v>45194.702152777798</v>
      </c>
      <c r="G20" s="34">
        <v>45182.672129629602</v>
      </c>
    </row>
    <row r="21" spans="1:8" ht="14.25" customHeight="1" x14ac:dyDescent="0.15">
      <c r="A21" s="34" t="str">
        <v>Color</v>
      </c>
      <c r="B21" s="34" t="str">
        <v>Red</v>
      </c>
      <c r="C21" s="34" t="str">
        <v>Black</v>
      </c>
      <c r="D21" s="34" t="str">
        <v>Green</v>
      </c>
      <c r="E21" s="34" t="str">
        <v>Black</v>
      </c>
      <c r="F21" s="35" t="str">
        <v>Green</v>
      </c>
      <c r="G21" s="34" t="str">
        <v>Silver</v>
      </c>
    </row>
    <row r="22" spans="1:8" ht="14.25" customHeight="1" x14ac:dyDescent="0.15">
      <c r="A22" s="34" t="str">
        <v>Mileage</v>
      </c>
      <c r="B22" s="37">
        <v>63512</v>
      </c>
      <c r="C22" s="37">
        <v>75006</v>
      </c>
      <c r="D22" s="37">
        <v>69847</v>
      </c>
      <c r="E22" s="37">
        <v>89073</v>
      </c>
      <c r="F22" s="42">
        <v>109231</v>
      </c>
      <c r="G22" s="37">
        <v>34853</v>
      </c>
      <c r="H22" s="28"/>
    </row>
    <row r="23" spans="1:8" ht="14.25" customHeight="1" x14ac:dyDescent="0.15">
      <c r="A23" s="34" t="str">
        <v>Price</v>
      </c>
      <c r="B23" s="39">
        <v>4000</v>
      </c>
      <c r="C23" s="39">
        <v>2198</v>
      </c>
      <c r="D23" s="39">
        <v>3826</v>
      </c>
      <c r="E23" s="39">
        <v>3950</v>
      </c>
      <c r="F23" s="38">
        <v>4959</v>
      </c>
      <c r="G23" s="39">
        <v>4349</v>
      </c>
    </row>
    <row r="24" spans="1:8" ht="14.25" customHeight="1" x14ac:dyDescent="0.15">
      <c r="A24" s="34" t="str">
        <v>Cost</v>
      </c>
      <c r="B24" s="39">
        <v>3000</v>
      </c>
      <c r="C24" s="39">
        <v>1900</v>
      </c>
      <c r="D24" s="39">
        <v>3000</v>
      </c>
      <c r="E24" s="39">
        <v>3000</v>
      </c>
      <c r="F24" s="38">
        <v>4500</v>
      </c>
      <c r="G24" s="39">
        <v>3500</v>
      </c>
    </row>
    <row r="25" spans="1:8" ht="14.25" customHeight="1" x14ac:dyDescent="0.15">
      <c r="F25" s="35"/>
    </row>
    <row r="26" spans="1:8" ht="14.25" customHeight="1" x14ac:dyDescent="0.15">
      <c r="F26" s="35"/>
    </row>
    <row r="27" spans="1:8" ht="14.25" customHeight="1" x14ac:dyDescent="0.15">
      <c r="F27" s="35"/>
    </row>
    <row r="28" spans="1:8" ht="14.25" customHeight="1" x14ac:dyDescent="0.15">
      <c r="F28" s="35"/>
    </row>
    <row r="29" spans="1:8" ht="14.25" customHeight="1" x14ac:dyDescent="0.15">
      <c r="F29" s="35"/>
    </row>
    <row r="30" spans="1:8" ht="14.25" customHeight="1" x14ac:dyDescent="0.15">
      <c r="F30" s="35"/>
    </row>
    <row r="31" spans="1:8" ht="14.25" customHeight="1" x14ac:dyDescent="0.15">
      <c r="F31" s="35"/>
    </row>
    <row r="32" spans="1:8" ht="14.25" customHeight="1" x14ac:dyDescent="0.15">
      <c r="F32" s="35"/>
    </row>
    <row r="33" spans="6:6" ht="14.25" customHeight="1" x14ac:dyDescent="0.15">
      <c r="F33" s="35"/>
    </row>
    <row r="34" spans="6:6" ht="14.25" customHeight="1" x14ac:dyDescent="0.15">
      <c r="F34" s="35"/>
    </row>
    <row r="35" spans="6:6" ht="14.25" customHeight="1" x14ac:dyDescent="0.15">
      <c r="F35" s="35"/>
    </row>
    <row r="36" spans="6:6" ht="14.25" customHeight="1" x14ac:dyDescent="0.15">
      <c r="F36" s="35"/>
    </row>
    <row r="37" spans="6:6" ht="14.25" customHeight="1" x14ac:dyDescent="0.15">
      <c r="F37" s="35"/>
    </row>
    <row r="38" spans="6:6" ht="14.25" customHeight="1" x14ac:dyDescent="0.15">
      <c r="F38" s="35"/>
    </row>
    <row r="39" spans="6:6" ht="14.25" customHeight="1" x14ac:dyDescent="0.15">
      <c r="F39" s="35"/>
    </row>
    <row r="40" spans="6:6" ht="14.25" customHeight="1" x14ac:dyDescent="0.15">
      <c r="F40" s="35"/>
    </row>
    <row r="41" spans="6:6" ht="14.25" customHeight="1" x14ac:dyDescent="0.15">
      <c r="F41" s="35"/>
    </row>
    <row r="42" spans="6:6" ht="14.25" customHeight="1" x14ac:dyDescent="0.15">
      <c r="F42" s="35"/>
    </row>
    <row r="43" spans="6:6" ht="14.25" customHeight="1" x14ac:dyDescent="0.15">
      <c r="F43" s="35"/>
    </row>
    <row r="44" spans="6:6" ht="14.25" customHeight="1" x14ac:dyDescent="0.15">
      <c r="F44" s="35"/>
    </row>
    <row r="45" spans="6:6" ht="14.25" customHeight="1" x14ac:dyDescent="0.15">
      <c r="F45" s="35"/>
    </row>
    <row r="46" spans="6:6" ht="14.25" customHeight="1" x14ac:dyDescent="0.15">
      <c r="F46" s="35"/>
    </row>
    <row r="47" spans="6:6" ht="14.25" customHeight="1" x14ac:dyDescent="0.15">
      <c r="F47" s="35"/>
    </row>
    <row r="48" spans="6:6" ht="14.25" customHeight="1" x14ac:dyDescent="0.15">
      <c r="F48" s="35"/>
    </row>
    <row r="49" spans="6:6" ht="14.25" customHeight="1" x14ac:dyDescent="0.15">
      <c r="F49" s="35"/>
    </row>
    <row r="50" spans="6:6" ht="14.25" customHeight="1" x14ac:dyDescent="0.15">
      <c r="F50" s="35"/>
    </row>
    <row r="51" spans="6:6" ht="14.25" customHeight="1" x14ac:dyDescent="0.15">
      <c r="F51" s="35"/>
    </row>
    <row r="52" spans="6:6" ht="14.25" customHeight="1" x14ac:dyDescent="0.15">
      <c r="F52" s="35"/>
    </row>
    <row r="53" spans="6:6" ht="14.25" customHeight="1" x14ac:dyDescent="0.15">
      <c r="F53" s="35"/>
    </row>
    <row r="54" spans="6:6" ht="14.25" customHeight="1" x14ac:dyDescent="0.15">
      <c r="F54" s="35"/>
    </row>
    <row r="55" spans="6:6" ht="14.25" customHeight="1" x14ac:dyDescent="0.15">
      <c r="F55" s="35"/>
    </row>
    <row r="56" spans="6:6" ht="14.25" customHeight="1" x14ac:dyDescent="0.15">
      <c r="F56" s="35"/>
    </row>
    <row r="57" spans="6:6" ht="14.25" customHeight="1" x14ac:dyDescent="0.15">
      <c r="F57" s="35"/>
    </row>
    <row r="58" spans="6:6" ht="14.25" customHeight="1" x14ac:dyDescent="0.15">
      <c r="F58" s="35"/>
    </row>
    <row r="59" spans="6:6" ht="14.25" customHeight="1" x14ac:dyDescent="0.15">
      <c r="F59" s="35"/>
    </row>
    <row r="60" spans="6:6" ht="14.25" customHeight="1" x14ac:dyDescent="0.15">
      <c r="F60" s="35"/>
    </row>
    <row r="61" spans="6:6" ht="14.25" customHeight="1" x14ac:dyDescent="0.15">
      <c r="F61" s="35"/>
    </row>
    <row r="62" spans="6:6" ht="14.25" customHeight="1" x14ac:dyDescent="0.15">
      <c r="F62" s="35"/>
    </row>
    <row r="63" spans="6:6" ht="14.25" customHeight="1" x14ac:dyDescent="0.15">
      <c r="F63" s="35"/>
    </row>
    <row r="64" spans="6:6" ht="14.25" customHeight="1" x14ac:dyDescent="0.15">
      <c r="F64" s="35"/>
    </row>
    <row r="65" spans="6:6" ht="14.25" customHeight="1" x14ac:dyDescent="0.15">
      <c r="F65" s="35"/>
    </row>
    <row r="66" spans="6:6" ht="14.25" customHeight="1" x14ac:dyDescent="0.15">
      <c r="F66" s="35"/>
    </row>
    <row r="67" spans="6:6" ht="14.25" customHeight="1" x14ac:dyDescent="0.15">
      <c r="F67" s="35"/>
    </row>
    <row r="68" spans="6:6" ht="14.25" customHeight="1" x14ac:dyDescent="0.15">
      <c r="F68" s="35"/>
    </row>
    <row r="69" spans="6:6" ht="14.25" customHeight="1" x14ac:dyDescent="0.15">
      <c r="F69" s="35"/>
    </row>
    <row r="70" spans="6:6" ht="14.25" customHeight="1" x14ac:dyDescent="0.15">
      <c r="F70" s="35"/>
    </row>
    <row r="71" spans="6:6" ht="14.25" customHeight="1" x14ac:dyDescent="0.15">
      <c r="F71" s="35"/>
    </row>
    <row r="72" spans="6:6" ht="14.25" customHeight="1" x14ac:dyDescent="0.15">
      <c r="F72" s="35"/>
    </row>
    <row r="73" spans="6:6" ht="14.25" customHeight="1" x14ac:dyDescent="0.15">
      <c r="F73" s="35"/>
    </row>
    <row r="74" spans="6:6" ht="14.25" customHeight="1" x14ac:dyDescent="0.15">
      <c r="F74" s="35"/>
    </row>
    <row r="75" spans="6:6" ht="14.25" customHeight="1" x14ac:dyDescent="0.15">
      <c r="F75" s="35"/>
    </row>
    <row r="76" spans="6:6" ht="14.25" customHeight="1" x14ac:dyDescent="0.15">
      <c r="F76" s="35"/>
    </row>
    <row r="77" spans="6:6" ht="14.25" customHeight="1" x14ac:dyDescent="0.15">
      <c r="F77" s="35"/>
    </row>
    <row r="78" spans="6:6" ht="14.25" customHeight="1" x14ac:dyDescent="0.15">
      <c r="F78" s="35"/>
    </row>
    <row r="79" spans="6:6" ht="14.25" customHeight="1" x14ac:dyDescent="0.15">
      <c r="F79" s="35"/>
    </row>
    <row r="80" spans="6:6" ht="14.25" customHeight="1" x14ac:dyDescent="0.15">
      <c r="F80" s="35"/>
    </row>
    <row r="81" spans="6:6" ht="14.25" customHeight="1" x14ac:dyDescent="0.15">
      <c r="F81" s="35"/>
    </row>
    <row r="82" spans="6:6" ht="14.25" customHeight="1" x14ac:dyDescent="0.15">
      <c r="F82" s="35"/>
    </row>
    <row r="83" spans="6:6" ht="14.25" customHeight="1" x14ac:dyDescent="0.15">
      <c r="F83" s="35"/>
    </row>
    <row r="84" spans="6:6" ht="14.25" customHeight="1" x14ac:dyDescent="0.15">
      <c r="F84" s="35"/>
    </row>
    <row r="85" spans="6:6" ht="14.25" customHeight="1" x14ac:dyDescent="0.15">
      <c r="F85" s="35"/>
    </row>
    <row r="86" spans="6:6" ht="14.25" customHeight="1" x14ac:dyDescent="0.15">
      <c r="F86" s="35"/>
    </row>
    <row r="87" spans="6:6" ht="14.25" customHeight="1" x14ac:dyDescent="0.15">
      <c r="F87" s="35"/>
    </row>
    <row r="88" spans="6:6" ht="14.25" customHeight="1" x14ac:dyDescent="0.15">
      <c r="F88" s="35"/>
    </row>
    <row r="89" spans="6:6" ht="14.25" customHeight="1" x14ac:dyDescent="0.15">
      <c r="F89" s="35"/>
    </row>
    <row r="90" spans="6:6" ht="14.25" customHeight="1" x14ac:dyDescent="0.15">
      <c r="F90" s="35"/>
    </row>
    <row r="91" spans="6:6" ht="14.25" customHeight="1" x14ac:dyDescent="0.15">
      <c r="F91" s="35"/>
    </row>
    <row r="92" spans="6:6" ht="14.25" customHeight="1" x14ac:dyDescent="0.15">
      <c r="F92" s="35"/>
    </row>
    <row r="93" spans="6:6" ht="14.25" customHeight="1" x14ac:dyDescent="0.15">
      <c r="F93" s="35"/>
    </row>
    <row r="94" spans="6:6" ht="14.25" customHeight="1" x14ac:dyDescent="0.15">
      <c r="F94" s="35"/>
    </row>
    <row r="95" spans="6:6" ht="14.25" customHeight="1" x14ac:dyDescent="0.15">
      <c r="F95" s="35"/>
    </row>
    <row r="96" spans="6:6" ht="14.25" customHeight="1" x14ac:dyDescent="0.15">
      <c r="F96" s="35"/>
    </row>
    <row r="97" spans="6:6" ht="14.25" customHeight="1" x14ac:dyDescent="0.15">
      <c r="F97" s="35"/>
    </row>
    <row r="98" spans="6:6" ht="14.25" customHeight="1" x14ac:dyDescent="0.15">
      <c r="F98" s="35"/>
    </row>
    <row r="99" spans="6:6" ht="14.25" customHeight="1" x14ac:dyDescent="0.15">
      <c r="F99" s="35"/>
    </row>
    <row r="100" spans="6:6" ht="14.25" customHeight="1" x14ac:dyDescent="0.15">
      <c r="F100" s="35"/>
    </row>
    <row r="101" spans="6:6" ht="14.25" customHeight="1" x14ac:dyDescent="0.15">
      <c r="F101" s="35"/>
    </row>
    <row r="102" spans="6:6" ht="14.25" customHeight="1" x14ac:dyDescent="0.15">
      <c r="F102" s="35"/>
    </row>
    <row r="103" spans="6:6" ht="14.25" customHeight="1" x14ac:dyDescent="0.15">
      <c r="F103" s="35"/>
    </row>
    <row r="104" spans="6:6" ht="14.25" customHeight="1" x14ac:dyDescent="0.15">
      <c r="F104" s="35"/>
    </row>
    <row r="105" spans="6:6" ht="14.25" customHeight="1" x14ac:dyDescent="0.15">
      <c r="F105" s="35"/>
    </row>
    <row r="106" spans="6:6" ht="14.25" customHeight="1" x14ac:dyDescent="0.15">
      <c r="F106" s="35"/>
    </row>
    <row r="107" spans="6:6" ht="14.25" customHeight="1" x14ac:dyDescent="0.15">
      <c r="F107" s="35"/>
    </row>
    <row r="108" spans="6:6" ht="14.25" customHeight="1" x14ac:dyDescent="0.15">
      <c r="F108" s="35"/>
    </row>
    <row r="109" spans="6:6" ht="14.25" customHeight="1" x14ac:dyDescent="0.15">
      <c r="F109" s="35"/>
    </row>
    <row r="110" spans="6:6" ht="14.25" customHeight="1" x14ac:dyDescent="0.15">
      <c r="F110" s="35"/>
    </row>
    <row r="111" spans="6:6" ht="14.25" customHeight="1" x14ac:dyDescent="0.15">
      <c r="F111" s="35"/>
    </row>
    <row r="112" spans="6:6" ht="14.25" customHeight="1" x14ac:dyDescent="0.15">
      <c r="F112" s="35"/>
    </row>
    <row r="113" spans="6:6" ht="14.25" customHeight="1" x14ac:dyDescent="0.15">
      <c r="F113" s="35"/>
    </row>
    <row r="114" spans="6:6" ht="14.25" customHeight="1" x14ac:dyDescent="0.15">
      <c r="F114" s="35"/>
    </row>
    <row r="115" spans="6:6" ht="14.25" customHeight="1" x14ac:dyDescent="0.15">
      <c r="F115" s="35"/>
    </row>
    <row r="116" spans="6:6" ht="14.25" customHeight="1" x14ac:dyDescent="0.15">
      <c r="F116" s="35"/>
    </row>
    <row r="117" spans="6:6" ht="14.25" customHeight="1" x14ac:dyDescent="0.15">
      <c r="F117" s="35"/>
    </row>
    <row r="118" spans="6:6" ht="14.25" customHeight="1" x14ac:dyDescent="0.15">
      <c r="F118" s="35"/>
    </row>
    <row r="119" spans="6:6" ht="14.25" customHeight="1" x14ac:dyDescent="0.15">
      <c r="F119" s="35"/>
    </row>
    <row r="120" spans="6:6" ht="14.25" customHeight="1" x14ac:dyDescent="0.15">
      <c r="F120" s="35"/>
    </row>
    <row r="121" spans="6:6" ht="14.25" customHeight="1" x14ac:dyDescent="0.15">
      <c r="F121" s="35"/>
    </row>
    <row r="122" spans="6:6" ht="14.25" customHeight="1" x14ac:dyDescent="0.15">
      <c r="F122" s="35"/>
    </row>
    <row r="123" spans="6:6" ht="14.25" customHeight="1" x14ac:dyDescent="0.15">
      <c r="F123" s="35"/>
    </row>
    <row r="124" spans="6:6" ht="14.25" customHeight="1" x14ac:dyDescent="0.15">
      <c r="F124" s="35"/>
    </row>
    <row r="125" spans="6:6" ht="14.25" customHeight="1" x14ac:dyDescent="0.15">
      <c r="F125" s="35"/>
    </row>
    <row r="126" spans="6:6" ht="14.25" customHeight="1" x14ac:dyDescent="0.15">
      <c r="F126" s="35"/>
    </row>
    <row r="127" spans="6:6" ht="14.25" customHeight="1" x14ac:dyDescent="0.15">
      <c r="F127" s="35"/>
    </row>
    <row r="128" spans="6:6" ht="14.25" customHeight="1" x14ac:dyDescent="0.15">
      <c r="F128" s="35"/>
    </row>
    <row r="129" spans="6:6" ht="14.25" customHeight="1" x14ac:dyDescent="0.15">
      <c r="F129" s="35"/>
    </row>
    <row r="130" spans="6:6" ht="14.25" customHeight="1" x14ac:dyDescent="0.15">
      <c r="F130" s="35"/>
    </row>
    <row r="131" spans="6:6" ht="14.25" customHeight="1" x14ac:dyDescent="0.15">
      <c r="F131" s="35"/>
    </row>
    <row r="132" spans="6:6" ht="14.25" customHeight="1" x14ac:dyDescent="0.15">
      <c r="F132" s="35"/>
    </row>
    <row r="133" spans="6:6" ht="14.25" customHeight="1" x14ac:dyDescent="0.15">
      <c r="F133" s="35"/>
    </row>
    <row r="134" spans="6:6" ht="14.25" customHeight="1" x14ac:dyDescent="0.15">
      <c r="F134" s="35"/>
    </row>
    <row r="135" spans="6:6" ht="14.25" customHeight="1" x14ac:dyDescent="0.15">
      <c r="F135" s="35"/>
    </row>
    <row r="136" spans="6:6" ht="14.25" customHeight="1" x14ac:dyDescent="0.15">
      <c r="F136" s="35"/>
    </row>
    <row r="137" spans="6:6" ht="14.25" customHeight="1" x14ac:dyDescent="0.15">
      <c r="F137" s="35"/>
    </row>
    <row r="138" spans="6:6" ht="14.25" customHeight="1" x14ac:dyDescent="0.15">
      <c r="F138" s="35"/>
    </row>
    <row r="139" spans="6:6" ht="14.25" customHeight="1" x14ac:dyDescent="0.15">
      <c r="F139" s="35"/>
    </row>
    <row r="140" spans="6:6" ht="14.25" customHeight="1" x14ac:dyDescent="0.15">
      <c r="F140" s="35"/>
    </row>
    <row r="141" spans="6:6" ht="14.25" customHeight="1" x14ac:dyDescent="0.15">
      <c r="F141" s="35"/>
    </row>
    <row r="142" spans="6:6" ht="14.25" customHeight="1" x14ac:dyDescent="0.15">
      <c r="F142" s="35"/>
    </row>
    <row r="143" spans="6:6" ht="14.25" customHeight="1" x14ac:dyDescent="0.15">
      <c r="F143" s="35"/>
    </row>
    <row r="144" spans="6:6" ht="14.25" customHeight="1" x14ac:dyDescent="0.15">
      <c r="F144" s="35"/>
    </row>
    <row r="145" spans="6:6" ht="14.25" customHeight="1" x14ac:dyDescent="0.15">
      <c r="F145" s="35"/>
    </row>
    <row r="146" spans="6:6" ht="14.25" customHeight="1" x14ac:dyDescent="0.15">
      <c r="F146" s="35"/>
    </row>
    <row r="147" spans="6:6" ht="14.25" customHeight="1" x14ac:dyDescent="0.15">
      <c r="F147" s="35"/>
    </row>
    <row r="148" spans="6:6" ht="14.25" customHeight="1" x14ac:dyDescent="0.15">
      <c r="F148" s="35"/>
    </row>
    <row r="149" spans="6:6" ht="14.25" customHeight="1" x14ac:dyDescent="0.15">
      <c r="F149" s="35"/>
    </row>
    <row r="150" spans="6:6" ht="14.25" customHeight="1" x14ac:dyDescent="0.15">
      <c r="F150" s="35"/>
    </row>
    <row r="151" spans="6:6" ht="14.25" customHeight="1" x14ac:dyDescent="0.15">
      <c r="F151" s="35"/>
    </row>
    <row r="152" spans="6:6" ht="14.25" customHeight="1" x14ac:dyDescent="0.15">
      <c r="F152" s="35"/>
    </row>
    <row r="153" spans="6:6" ht="14.25" customHeight="1" x14ac:dyDescent="0.15">
      <c r="F153" s="35"/>
    </row>
    <row r="154" spans="6:6" ht="14.25" customHeight="1" x14ac:dyDescent="0.15">
      <c r="F154" s="35"/>
    </row>
    <row r="155" spans="6:6" ht="14.25" customHeight="1" x14ac:dyDescent="0.15">
      <c r="F155" s="35"/>
    </row>
    <row r="156" spans="6:6" ht="14.25" customHeight="1" x14ac:dyDescent="0.15">
      <c r="F156" s="35"/>
    </row>
    <row r="157" spans="6:6" ht="14.25" customHeight="1" x14ac:dyDescent="0.15">
      <c r="F157" s="35"/>
    </row>
    <row r="158" spans="6:6" ht="14.25" customHeight="1" x14ac:dyDescent="0.15">
      <c r="F158" s="35"/>
    </row>
    <row r="159" spans="6:6" ht="14.25" customHeight="1" x14ac:dyDescent="0.15">
      <c r="F159" s="35"/>
    </row>
    <row r="160" spans="6:6" ht="14.25" customHeight="1" x14ac:dyDescent="0.15">
      <c r="F160" s="35"/>
    </row>
    <row r="161" spans="6:6" ht="14.25" customHeight="1" x14ac:dyDescent="0.15">
      <c r="F161" s="35"/>
    </row>
    <row r="162" spans="6:6" ht="14.25" customHeight="1" x14ac:dyDescent="0.15">
      <c r="F162" s="35"/>
    </row>
    <row r="163" spans="6:6" ht="14.25" customHeight="1" x14ac:dyDescent="0.15">
      <c r="F163" s="35"/>
    </row>
    <row r="164" spans="6:6" ht="14.25" customHeight="1" x14ac:dyDescent="0.15">
      <c r="F164" s="35"/>
    </row>
    <row r="165" spans="6:6" ht="14.25" customHeight="1" x14ac:dyDescent="0.15">
      <c r="F165" s="35"/>
    </row>
    <row r="166" spans="6:6" ht="14.25" customHeight="1" x14ac:dyDescent="0.15">
      <c r="F166" s="35"/>
    </row>
    <row r="167" spans="6:6" ht="14.25" customHeight="1" x14ac:dyDescent="0.15">
      <c r="F167" s="35"/>
    </row>
    <row r="168" spans="6:6" ht="14.25" customHeight="1" x14ac:dyDescent="0.15">
      <c r="F168" s="35"/>
    </row>
    <row r="169" spans="6:6" ht="14.25" customHeight="1" x14ac:dyDescent="0.15">
      <c r="F169" s="35"/>
    </row>
    <row r="170" spans="6:6" ht="14.25" customHeight="1" x14ac:dyDescent="0.15">
      <c r="F170" s="35"/>
    </row>
    <row r="171" spans="6:6" ht="14.25" customHeight="1" x14ac:dyDescent="0.15">
      <c r="F171" s="35"/>
    </row>
    <row r="172" spans="6:6" ht="14.25" customHeight="1" x14ac:dyDescent="0.15">
      <c r="F172" s="35"/>
    </row>
    <row r="173" spans="6:6" ht="14.25" customHeight="1" x14ac:dyDescent="0.15">
      <c r="F173" s="35"/>
    </row>
    <row r="174" spans="6:6" ht="14.25" customHeight="1" x14ac:dyDescent="0.15">
      <c r="F174" s="35"/>
    </row>
    <row r="175" spans="6:6" ht="14.25" customHeight="1" x14ac:dyDescent="0.15">
      <c r="F175" s="35"/>
    </row>
    <row r="176" spans="6:6" ht="14.25" customHeight="1" x14ac:dyDescent="0.15">
      <c r="F176" s="35"/>
    </row>
    <row r="177" spans="6:6" ht="14.25" customHeight="1" x14ac:dyDescent="0.15">
      <c r="F177" s="35"/>
    </row>
    <row r="178" spans="6:6" ht="14.25" customHeight="1" x14ac:dyDescent="0.15">
      <c r="F178" s="35"/>
    </row>
    <row r="179" spans="6:6" ht="14.25" customHeight="1" x14ac:dyDescent="0.15">
      <c r="F179" s="35"/>
    </row>
    <row r="180" spans="6:6" ht="14.25" customHeight="1" x14ac:dyDescent="0.15">
      <c r="F180" s="35"/>
    </row>
    <row r="181" spans="6:6" ht="14.25" customHeight="1" x14ac:dyDescent="0.15">
      <c r="F181" s="35"/>
    </row>
    <row r="182" spans="6:6" ht="14.25" customHeight="1" x14ac:dyDescent="0.15">
      <c r="F182" s="35"/>
    </row>
    <row r="183" spans="6:6" ht="14.25" customHeight="1" x14ac:dyDescent="0.15">
      <c r="F183" s="35"/>
    </row>
    <row r="184" spans="6:6" ht="14.25" customHeight="1" x14ac:dyDescent="0.15">
      <c r="F184" s="35"/>
    </row>
    <row r="185" spans="6:6" ht="14.25" customHeight="1" x14ac:dyDescent="0.15">
      <c r="F185" s="35"/>
    </row>
    <row r="186" spans="6:6" ht="14.25" customHeight="1" x14ac:dyDescent="0.15">
      <c r="F186" s="35"/>
    </row>
    <row r="187" spans="6:6" ht="14.25" customHeight="1" x14ac:dyDescent="0.15">
      <c r="F187" s="35"/>
    </row>
    <row r="188" spans="6:6" ht="14.25" customHeight="1" x14ac:dyDescent="0.15">
      <c r="F188" s="35"/>
    </row>
    <row r="189" spans="6:6" ht="14.25" customHeight="1" x14ac:dyDescent="0.15">
      <c r="F189" s="35"/>
    </row>
    <row r="190" spans="6:6" ht="14.25" customHeight="1" x14ac:dyDescent="0.15">
      <c r="F190" s="35"/>
    </row>
    <row r="191" spans="6:6" ht="14.25" customHeight="1" x14ac:dyDescent="0.15">
      <c r="F191" s="35"/>
    </row>
    <row r="192" spans="6:6" ht="14.25" customHeight="1" x14ac:dyDescent="0.15">
      <c r="F192" s="35"/>
    </row>
    <row r="193" spans="6:6" ht="14.25" customHeight="1" x14ac:dyDescent="0.15">
      <c r="F193" s="35"/>
    </row>
    <row r="194" spans="6:6" ht="14.25" customHeight="1" x14ac:dyDescent="0.15">
      <c r="F194" s="35"/>
    </row>
    <row r="195" spans="6:6" ht="14.25" customHeight="1" x14ac:dyDescent="0.15">
      <c r="F195" s="35"/>
    </row>
    <row r="196" spans="6:6" ht="14.25" customHeight="1" x14ac:dyDescent="0.15">
      <c r="F196" s="35"/>
    </row>
    <row r="197" spans="6:6" ht="14.25" customHeight="1" x14ac:dyDescent="0.15">
      <c r="F197" s="35"/>
    </row>
    <row r="198" spans="6:6" ht="14.25" customHeight="1" x14ac:dyDescent="0.15">
      <c r="F198" s="35"/>
    </row>
    <row r="199" spans="6:6" ht="14.25" customHeight="1" x14ac:dyDescent="0.15">
      <c r="F199" s="35"/>
    </row>
    <row r="200" spans="6:6" ht="14.25" customHeight="1" x14ac:dyDescent="0.15">
      <c r="F200" s="35"/>
    </row>
    <row r="201" spans="6:6" ht="14.25" customHeight="1" x14ac:dyDescent="0.15">
      <c r="F201" s="35"/>
    </row>
    <row r="202" spans="6:6" ht="14.25" customHeight="1" x14ac:dyDescent="0.15">
      <c r="F202" s="35"/>
    </row>
    <row r="203" spans="6:6" ht="14.25" customHeight="1" x14ac:dyDescent="0.15">
      <c r="F203" s="35"/>
    </row>
    <row r="204" spans="6:6" ht="14.25" customHeight="1" x14ac:dyDescent="0.15">
      <c r="F204" s="35"/>
    </row>
    <row r="205" spans="6:6" ht="14.25" customHeight="1" x14ac:dyDescent="0.15">
      <c r="F205" s="35"/>
    </row>
    <row r="206" spans="6:6" ht="14.25" customHeight="1" x14ac:dyDescent="0.15">
      <c r="F206" s="35"/>
    </row>
    <row r="207" spans="6:6" ht="14.25" customHeight="1" x14ac:dyDescent="0.15">
      <c r="F207" s="35"/>
    </row>
    <row r="208" spans="6:6" ht="14.25" customHeight="1" x14ac:dyDescent="0.15">
      <c r="F208" s="35"/>
    </row>
    <row r="209" spans="6:6" ht="14.25" customHeight="1" x14ac:dyDescent="0.15">
      <c r="F209" s="35"/>
    </row>
    <row r="210" spans="6:6" ht="14.25" customHeight="1" x14ac:dyDescent="0.15">
      <c r="F210" s="35"/>
    </row>
    <row r="211" spans="6:6" ht="14.25" customHeight="1" x14ac:dyDescent="0.15">
      <c r="F211" s="35"/>
    </row>
    <row r="212" spans="6:6" ht="14.25" customHeight="1" x14ac:dyDescent="0.15">
      <c r="F212" s="35"/>
    </row>
    <row r="213" spans="6:6" ht="14.25" customHeight="1" x14ac:dyDescent="0.15">
      <c r="F213" s="35"/>
    </row>
    <row r="214" spans="6:6" ht="14.25" customHeight="1" x14ac:dyDescent="0.15">
      <c r="F214" s="35"/>
    </row>
    <row r="215" spans="6:6" ht="14.25" customHeight="1" x14ac:dyDescent="0.15">
      <c r="F215" s="35"/>
    </row>
    <row r="216" spans="6:6" ht="14.25" customHeight="1" x14ac:dyDescent="0.15">
      <c r="F216" s="35"/>
    </row>
    <row r="217" spans="6:6" ht="14.25" customHeight="1" x14ac:dyDescent="0.15">
      <c r="F217" s="35"/>
    </row>
    <row r="218" spans="6:6" ht="14.25" customHeight="1" x14ac:dyDescent="0.15">
      <c r="F218" s="35"/>
    </row>
    <row r="219" spans="6:6" ht="14.25" customHeight="1" x14ac:dyDescent="0.15">
      <c r="F219" s="35"/>
    </row>
    <row r="220" spans="6:6" ht="14.25" customHeight="1" x14ac:dyDescent="0.15">
      <c r="F220" s="35"/>
    </row>
    <row r="221" spans="6:6" ht="14.25" customHeight="1" x14ac:dyDescent="0.15">
      <c r="F221" s="35"/>
    </row>
    <row r="222" spans="6:6" ht="14.25" customHeight="1" x14ac:dyDescent="0.15">
      <c r="F222" s="35"/>
    </row>
    <row r="223" spans="6:6" ht="14.25" customHeight="1" x14ac:dyDescent="0.15">
      <c r="F223" s="35"/>
    </row>
    <row r="224" spans="6:6" ht="14.25" customHeight="1" x14ac:dyDescent="0.15">
      <c r="F224" s="35"/>
    </row>
    <row r="225" spans="6:6" ht="15.75" customHeight="1" x14ac:dyDescent="0.15">
      <c r="F225" s="35"/>
    </row>
    <row r="226" spans="6:6" ht="15.75" customHeight="1" x14ac:dyDescent="0.15">
      <c r="F226" s="35"/>
    </row>
    <row r="227" spans="6:6" ht="15.75" customHeight="1" x14ac:dyDescent="0.15">
      <c r="F227" s="35"/>
    </row>
    <row r="228" spans="6:6" ht="15.75" customHeight="1" x14ac:dyDescent="0.15">
      <c r="F228" s="35"/>
    </row>
    <row r="229" spans="6:6" ht="15.75" customHeight="1" x14ac:dyDescent="0.15">
      <c r="F229" s="35"/>
    </row>
    <row r="230" spans="6:6" ht="15.75" customHeight="1" x14ac:dyDescent="0.15">
      <c r="F230" s="35"/>
    </row>
    <row r="231" spans="6:6" ht="15.75" customHeight="1" x14ac:dyDescent="0.15">
      <c r="F231" s="35"/>
    </row>
    <row r="232" spans="6:6" ht="15.75" customHeight="1" x14ac:dyDescent="0.15">
      <c r="F232" s="35"/>
    </row>
    <row r="233" spans="6:6" ht="15.75" customHeight="1" x14ac:dyDescent="0.15">
      <c r="F233" s="35"/>
    </row>
    <row r="234" spans="6:6" ht="15.75" customHeight="1" x14ac:dyDescent="0.15">
      <c r="F234" s="35"/>
    </row>
    <row r="235" spans="6:6" ht="15.75" customHeight="1" x14ac:dyDescent="0.15">
      <c r="F235" s="35"/>
    </row>
    <row r="236" spans="6:6" ht="15.75" customHeight="1" x14ac:dyDescent="0.15">
      <c r="F236" s="35"/>
    </row>
    <row r="237" spans="6:6" ht="15.75" customHeight="1" x14ac:dyDescent="0.15">
      <c r="F237" s="35"/>
    </row>
    <row r="238" spans="6:6" ht="15.75" customHeight="1" x14ac:dyDescent="0.15">
      <c r="F238" s="35"/>
    </row>
    <row r="239" spans="6:6" ht="15.75" customHeight="1" x14ac:dyDescent="0.15">
      <c r="F239" s="35"/>
    </row>
    <row r="240" spans="6:6" ht="15.75" customHeight="1" x14ac:dyDescent="0.15">
      <c r="F240" s="35"/>
    </row>
    <row r="241" spans="6:6" ht="15.75" customHeight="1" x14ac:dyDescent="0.15">
      <c r="F241" s="35"/>
    </row>
    <row r="242" spans="6:6" ht="15.75" customHeight="1" x14ac:dyDescent="0.15">
      <c r="F242" s="35"/>
    </row>
    <row r="243" spans="6:6" ht="15.75" customHeight="1" x14ac:dyDescent="0.15">
      <c r="F243" s="35"/>
    </row>
    <row r="244" spans="6:6" ht="15.75" customHeight="1" x14ac:dyDescent="0.15">
      <c r="F244" s="35"/>
    </row>
    <row r="245" spans="6:6" ht="15.75" customHeight="1" x14ac:dyDescent="0.15">
      <c r="F245" s="35"/>
    </row>
    <row r="246" spans="6:6" ht="15.75" customHeight="1" x14ac:dyDescent="0.15">
      <c r="F246" s="35"/>
    </row>
    <row r="247" spans="6:6" ht="15.75" customHeight="1" x14ac:dyDescent="0.15">
      <c r="F247" s="35"/>
    </row>
    <row r="248" spans="6:6" ht="15.75" customHeight="1" x14ac:dyDescent="0.15">
      <c r="F248" s="35"/>
    </row>
    <row r="249" spans="6:6" ht="15.75" customHeight="1" x14ac:dyDescent="0.15">
      <c r="F249" s="35"/>
    </row>
    <row r="250" spans="6:6" ht="15.75" customHeight="1" x14ac:dyDescent="0.15">
      <c r="F250" s="35"/>
    </row>
    <row r="251" spans="6:6" ht="15.75" customHeight="1" x14ac:dyDescent="0.15">
      <c r="F251" s="35"/>
    </row>
    <row r="252" spans="6:6" ht="15.75" customHeight="1" x14ac:dyDescent="0.15">
      <c r="F252" s="35"/>
    </row>
    <row r="253" spans="6:6" ht="15.75" customHeight="1" x14ac:dyDescent="0.15">
      <c r="F253" s="35"/>
    </row>
    <row r="254" spans="6:6" ht="15.75" customHeight="1" x14ac:dyDescent="0.15">
      <c r="F254" s="35"/>
    </row>
    <row r="255" spans="6:6" ht="15.75" customHeight="1" x14ac:dyDescent="0.15">
      <c r="F255" s="35"/>
    </row>
    <row r="256" spans="6:6" ht="15.75" customHeight="1" x14ac:dyDescent="0.15">
      <c r="F256" s="35"/>
    </row>
    <row r="257" spans="6:6" ht="15.75" customHeight="1" x14ac:dyDescent="0.15">
      <c r="F257" s="35"/>
    </row>
    <row r="258" spans="6:6" ht="15.75" customHeight="1" x14ac:dyDescent="0.15">
      <c r="F258" s="35"/>
    </row>
    <row r="259" spans="6:6" ht="15.75" customHeight="1" x14ac:dyDescent="0.15">
      <c r="F259" s="35"/>
    </row>
    <row r="260" spans="6:6" ht="15.75" customHeight="1" x14ac:dyDescent="0.15">
      <c r="F260" s="35"/>
    </row>
    <row r="261" spans="6:6" ht="15.75" customHeight="1" x14ac:dyDescent="0.15">
      <c r="F261" s="35"/>
    </row>
    <row r="262" spans="6:6" ht="15.75" customHeight="1" x14ac:dyDescent="0.15">
      <c r="F262" s="35"/>
    </row>
    <row r="263" spans="6:6" ht="15.75" customHeight="1" x14ac:dyDescent="0.15">
      <c r="F263" s="35"/>
    </row>
    <row r="264" spans="6:6" ht="15.75" customHeight="1" x14ac:dyDescent="0.15">
      <c r="F264" s="35"/>
    </row>
    <row r="265" spans="6:6" ht="15.75" customHeight="1" x14ac:dyDescent="0.15">
      <c r="F265" s="35"/>
    </row>
    <row r="266" spans="6:6" ht="15.75" customHeight="1" x14ac:dyDescent="0.15">
      <c r="F266" s="35"/>
    </row>
    <row r="267" spans="6:6" ht="15.75" customHeight="1" x14ac:dyDescent="0.15">
      <c r="F267" s="35"/>
    </row>
    <row r="268" spans="6:6" ht="15.75" customHeight="1" x14ac:dyDescent="0.15">
      <c r="F268" s="35"/>
    </row>
    <row r="269" spans="6:6" ht="15.75" customHeight="1" x14ac:dyDescent="0.15">
      <c r="F269" s="35"/>
    </row>
    <row r="270" spans="6:6" ht="15.75" customHeight="1" x14ac:dyDescent="0.15">
      <c r="F270" s="35"/>
    </row>
    <row r="271" spans="6:6" ht="15.75" customHeight="1" x14ac:dyDescent="0.15">
      <c r="F271" s="35"/>
    </row>
    <row r="272" spans="6:6" ht="15.75" customHeight="1" x14ac:dyDescent="0.15">
      <c r="F272" s="35"/>
    </row>
    <row r="273" spans="6:6" ht="15.75" customHeight="1" x14ac:dyDescent="0.15">
      <c r="F273" s="35"/>
    </row>
    <row r="274" spans="6:6" ht="15.75" customHeight="1" x14ac:dyDescent="0.15">
      <c r="F274" s="35"/>
    </row>
    <row r="275" spans="6:6" ht="15.75" customHeight="1" x14ac:dyDescent="0.15">
      <c r="F275" s="35"/>
    </row>
    <row r="276" spans="6:6" ht="15.75" customHeight="1" x14ac:dyDescent="0.15">
      <c r="F276" s="35"/>
    </row>
    <row r="277" spans="6:6" ht="15.75" customHeight="1" x14ac:dyDescent="0.15">
      <c r="F277" s="35"/>
    </row>
    <row r="278" spans="6:6" ht="15.75" customHeight="1" x14ac:dyDescent="0.15">
      <c r="F278" s="35"/>
    </row>
    <row r="279" spans="6:6" ht="15.75" customHeight="1" x14ac:dyDescent="0.15">
      <c r="F279" s="35"/>
    </row>
    <row r="280" spans="6:6" ht="15.75" customHeight="1" x14ac:dyDescent="0.15">
      <c r="F280" s="35"/>
    </row>
    <row r="281" spans="6:6" ht="15.75" customHeight="1" x14ac:dyDescent="0.15">
      <c r="F281" s="35"/>
    </row>
    <row r="282" spans="6:6" ht="15.75" customHeight="1" x14ac:dyDescent="0.15">
      <c r="F282" s="35"/>
    </row>
    <row r="283" spans="6:6" ht="15.75" customHeight="1" x14ac:dyDescent="0.15">
      <c r="F283" s="35"/>
    </row>
    <row r="284" spans="6:6" ht="15.75" customHeight="1" x14ac:dyDescent="0.15">
      <c r="F284" s="35"/>
    </row>
    <row r="285" spans="6:6" ht="15.75" customHeight="1" x14ac:dyDescent="0.15">
      <c r="F285" s="35"/>
    </row>
    <row r="286" spans="6:6" ht="15.75" customHeight="1" x14ac:dyDescent="0.15">
      <c r="F286" s="35"/>
    </row>
    <row r="287" spans="6:6" ht="15.75" customHeight="1" x14ac:dyDescent="0.15">
      <c r="F287" s="35"/>
    </row>
    <row r="288" spans="6:6" ht="15.75" customHeight="1" x14ac:dyDescent="0.15">
      <c r="F288" s="35"/>
    </row>
    <row r="289" spans="6:6" ht="15.75" customHeight="1" x14ac:dyDescent="0.15">
      <c r="F289" s="35"/>
    </row>
    <row r="290" spans="6:6" ht="15.75" customHeight="1" x14ac:dyDescent="0.15">
      <c r="F290" s="35"/>
    </row>
    <row r="291" spans="6:6" ht="15.75" customHeight="1" x14ac:dyDescent="0.15">
      <c r="F291" s="35"/>
    </row>
    <row r="292" spans="6:6" ht="15.75" customHeight="1" x14ac:dyDescent="0.15">
      <c r="F292" s="35"/>
    </row>
    <row r="293" spans="6:6" ht="15.75" customHeight="1" x14ac:dyDescent="0.15">
      <c r="F293" s="35"/>
    </row>
    <row r="294" spans="6:6" ht="15.75" customHeight="1" x14ac:dyDescent="0.15">
      <c r="F294" s="35"/>
    </row>
    <row r="295" spans="6:6" ht="15.75" customHeight="1" x14ac:dyDescent="0.15">
      <c r="F295" s="35"/>
    </row>
    <row r="296" spans="6:6" ht="15.75" customHeight="1" x14ac:dyDescent="0.15">
      <c r="F296" s="35"/>
    </row>
    <row r="297" spans="6:6" ht="15.75" customHeight="1" x14ac:dyDescent="0.15">
      <c r="F297" s="35"/>
    </row>
    <row r="298" spans="6:6" ht="15.75" customHeight="1" x14ac:dyDescent="0.15">
      <c r="F298" s="35"/>
    </row>
    <row r="299" spans="6:6" ht="15.75" customHeight="1" x14ac:dyDescent="0.15">
      <c r="F299" s="35"/>
    </row>
    <row r="300" spans="6:6" ht="15.75" customHeight="1" x14ac:dyDescent="0.15">
      <c r="F300" s="35"/>
    </row>
    <row r="301" spans="6:6" ht="15.75" customHeight="1" x14ac:dyDescent="0.15">
      <c r="F301" s="35"/>
    </row>
    <row r="302" spans="6:6" ht="15.75" customHeight="1" x14ac:dyDescent="0.15">
      <c r="F302" s="35"/>
    </row>
    <row r="303" spans="6:6" ht="15.75" customHeight="1" x14ac:dyDescent="0.15">
      <c r="F303" s="35"/>
    </row>
    <row r="304" spans="6:6" ht="15.75" customHeight="1" x14ac:dyDescent="0.15">
      <c r="F304" s="35"/>
    </row>
    <row r="305" spans="6:6" ht="15.75" customHeight="1" x14ac:dyDescent="0.15">
      <c r="F305" s="35"/>
    </row>
    <row r="306" spans="6:6" ht="15.75" customHeight="1" x14ac:dyDescent="0.15">
      <c r="F306" s="35"/>
    </row>
    <row r="307" spans="6:6" ht="15.75" customHeight="1" x14ac:dyDescent="0.15">
      <c r="F307" s="35"/>
    </row>
    <row r="308" spans="6:6" ht="15.75" customHeight="1" x14ac:dyDescent="0.15">
      <c r="F308" s="35"/>
    </row>
    <row r="309" spans="6:6" ht="15.75" customHeight="1" x14ac:dyDescent="0.15">
      <c r="F309" s="35"/>
    </row>
    <row r="310" spans="6:6" ht="15.75" customHeight="1" x14ac:dyDescent="0.15">
      <c r="F310" s="35"/>
    </row>
    <row r="311" spans="6:6" ht="15.75" customHeight="1" x14ac:dyDescent="0.15">
      <c r="F311" s="35"/>
    </row>
    <row r="312" spans="6:6" ht="15.75" customHeight="1" x14ac:dyDescent="0.15">
      <c r="F312" s="35"/>
    </row>
    <row r="313" spans="6:6" ht="15.75" customHeight="1" x14ac:dyDescent="0.15">
      <c r="F313" s="35"/>
    </row>
    <row r="314" spans="6:6" ht="15.75" customHeight="1" x14ac:dyDescent="0.15">
      <c r="F314" s="35"/>
    </row>
    <row r="315" spans="6:6" ht="15.75" customHeight="1" x14ac:dyDescent="0.15">
      <c r="F315" s="35"/>
    </row>
    <row r="316" spans="6:6" ht="15.75" customHeight="1" x14ac:dyDescent="0.15">
      <c r="F316" s="35"/>
    </row>
    <row r="317" spans="6:6" ht="15.75" customHeight="1" x14ac:dyDescent="0.15">
      <c r="F317" s="35"/>
    </row>
    <row r="318" spans="6:6" ht="15.75" customHeight="1" x14ac:dyDescent="0.15">
      <c r="F318" s="35"/>
    </row>
    <row r="319" spans="6:6" ht="15.75" customHeight="1" x14ac:dyDescent="0.15">
      <c r="F319" s="35"/>
    </row>
    <row r="320" spans="6:6" ht="15.75" customHeight="1" x14ac:dyDescent="0.15">
      <c r="F320" s="35"/>
    </row>
    <row r="321" spans="6:6" ht="15.75" customHeight="1" x14ac:dyDescent="0.15">
      <c r="F321" s="35"/>
    </row>
    <row r="322" spans="6:6" ht="15.75" customHeight="1" x14ac:dyDescent="0.15">
      <c r="F322" s="35"/>
    </row>
    <row r="323" spans="6:6" ht="15.75" customHeight="1" x14ac:dyDescent="0.15">
      <c r="F323" s="35"/>
    </row>
    <row r="324" spans="6:6" ht="15.75" customHeight="1" x14ac:dyDescent="0.15">
      <c r="F324" s="35"/>
    </row>
    <row r="325" spans="6:6" ht="15.75" customHeight="1" x14ac:dyDescent="0.15">
      <c r="F325" s="35"/>
    </row>
    <row r="326" spans="6:6" ht="15.75" customHeight="1" x14ac:dyDescent="0.15">
      <c r="F326" s="35"/>
    </row>
    <row r="327" spans="6:6" ht="15.75" customHeight="1" x14ac:dyDescent="0.15">
      <c r="F327" s="35"/>
    </row>
    <row r="328" spans="6:6" ht="15.75" customHeight="1" x14ac:dyDescent="0.15">
      <c r="F328" s="35"/>
    </row>
    <row r="329" spans="6:6" ht="15.75" customHeight="1" x14ac:dyDescent="0.15">
      <c r="F329" s="35"/>
    </row>
    <row r="330" spans="6:6" ht="15.75" customHeight="1" x14ac:dyDescent="0.15">
      <c r="F330" s="35"/>
    </row>
    <row r="331" spans="6:6" ht="15.75" customHeight="1" x14ac:dyDescent="0.15">
      <c r="F331" s="35"/>
    </row>
    <row r="332" spans="6:6" ht="15.75" customHeight="1" x14ac:dyDescent="0.15">
      <c r="F332" s="35"/>
    </row>
    <row r="333" spans="6:6" ht="15.75" customHeight="1" x14ac:dyDescent="0.15">
      <c r="F333" s="35"/>
    </row>
    <row r="334" spans="6:6" ht="15.75" customHeight="1" x14ac:dyDescent="0.15">
      <c r="F334" s="35"/>
    </row>
    <row r="335" spans="6:6" ht="15.75" customHeight="1" x14ac:dyDescent="0.15">
      <c r="F335" s="35"/>
    </row>
    <row r="336" spans="6:6" ht="15.75" customHeight="1" x14ac:dyDescent="0.15">
      <c r="F336" s="35"/>
    </row>
    <row r="337" spans="6:6" ht="15.75" customHeight="1" x14ac:dyDescent="0.15">
      <c r="F337" s="35"/>
    </row>
    <row r="338" spans="6:6" ht="15.75" customHeight="1" x14ac:dyDescent="0.15">
      <c r="F338" s="35"/>
    </row>
    <row r="339" spans="6:6" ht="15.75" customHeight="1" x14ac:dyDescent="0.15">
      <c r="F339" s="35"/>
    </row>
    <row r="340" spans="6:6" ht="15.75" customHeight="1" x14ac:dyDescent="0.15">
      <c r="F340" s="35"/>
    </row>
    <row r="341" spans="6:6" ht="15.75" customHeight="1" x14ac:dyDescent="0.15">
      <c r="F341" s="35"/>
    </row>
    <row r="342" spans="6:6" ht="15.75" customHeight="1" x14ac:dyDescent="0.15">
      <c r="F342" s="35"/>
    </row>
    <row r="343" spans="6:6" ht="15.75" customHeight="1" x14ac:dyDescent="0.15">
      <c r="F343" s="35"/>
    </row>
    <row r="344" spans="6:6" ht="15.75" customHeight="1" x14ac:dyDescent="0.15">
      <c r="F344" s="35"/>
    </row>
    <row r="345" spans="6:6" ht="15.75" customHeight="1" x14ac:dyDescent="0.15">
      <c r="F345" s="35"/>
    </row>
    <row r="346" spans="6:6" ht="15.75" customHeight="1" x14ac:dyDescent="0.15">
      <c r="F346" s="35"/>
    </row>
    <row r="347" spans="6:6" ht="15.75" customHeight="1" x14ac:dyDescent="0.15">
      <c r="F347" s="35"/>
    </row>
    <row r="348" spans="6:6" ht="15.75" customHeight="1" x14ac:dyDescent="0.15">
      <c r="F348" s="35"/>
    </row>
    <row r="349" spans="6:6" ht="15.75" customHeight="1" x14ac:dyDescent="0.15">
      <c r="F349" s="35"/>
    </row>
    <row r="350" spans="6:6" ht="15.75" customHeight="1" x14ac:dyDescent="0.15">
      <c r="F350" s="35"/>
    </row>
    <row r="351" spans="6:6" ht="15.75" customHeight="1" x14ac:dyDescent="0.15">
      <c r="F351" s="35"/>
    </row>
    <row r="352" spans="6:6" ht="15.75" customHeight="1" x14ac:dyDescent="0.15">
      <c r="F352" s="35"/>
    </row>
    <row r="353" spans="6:6" ht="15.75" customHeight="1" x14ac:dyDescent="0.15">
      <c r="F353" s="35"/>
    </row>
    <row r="354" spans="6:6" ht="15.75" customHeight="1" x14ac:dyDescent="0.15">
      <c r="F354" s="35"/>
    </row>
    <row r="355" spans="6:6" ht="15.75" customHeight="1" x14ac:dyDescent="0.15">
      <c r="F355" s="35"/>
    </row>
    <row r="356" spans="6:6" ht="15.75" customHeight="1" x14ac:dyDescent="0.15">
      <c r="F356" s="35"/>
    </row>
    <row r="357" spans="6:6" ht="15.75" customHeight="1" x14ac:dyDescent="0.15">
      <c r="F357" s="35"/>
    </row>
    <row r="358" spans="6:6" ht="15.75" customHeight="1" x14ac:dyDescent="0.15">
      <c r="F358" s="35"/>
    </row>
    <row r="359" spans="6:6" ht="15.75" customHeight="1" x14ac:dyDescent="0.15">
      <c r="F359" s="35"/>
    </row>
    <row r="360" spans="6:6" ht="15.75" customHeight="1" x14ac:dyDescent="0.15">
      <c r="F360" s="35"/>
    </row>
    <row r="361" spans="6:6" ht="15.75" customHeight="1" x14ac:dyDescent="0.15">
      <c r="F361" s="35"/>
    </row>
    <row r="362" spans="6:6" ht="15.75" customHeight="1" x14ac:dyDescent="0.15">
      <c r="F362" s="35"/>
    </row>
    <row r="363" spans="6:6" ht="15.75" customHeight="1" x14ac:dyDescent="0.15">
      <c r="F363" s="35"/>
    </row>
    <row r="364" spans="6:6" ht="15.75" customHeight="1" x14ac:dyDescent="0.15">
      <c r="F364" s="35"/>
    </row>
    <row r="365" spans="6:6" ht="15.75" customHeight="1" x14ac:dyDescent="0.15">
      <c r="F365" s="35"/>
    </row>
    <row r="366" spans="6:6" ht="15.75" customHeight="1" x14ac:dyDescent="0.15">
      <c r="F366" s="35"/>
    </row>
    <row r="367" spans="6:6" ht="15.75" customHeight="1" x14ac:dyDescent="0.15">
      <c r="F367" s="35"/>
    </row>
    <row r="368" spans="6:6" ht="15.75" customHeight="1" x14ac:dyDescent="0.15">
      <c r="F368" s="35"/>
    </row>
    <row r="369" spans="6:6" ht="15.75" customHeight="1" x14ac:dyDescent="0.15">
      <c r="F369" s="35"/>
    </row>
    <row r="370" spans="6:6" ht="15.75" customHeight="1" x14ac:dyDescent="0.15">
      <c r="F370" s="35"/>
    </row>
    <row r="371" spans="6:6" ht="15.75" customHeight="1" x14ac:dyDescent="0.15">
      <c r="F371" s="35"/>
    </row>
    <row r="372" spans="6:6" ht="15.75" customHeight="1" x14ac:dyDescent="0.15">
      <c r="F372" s="35"/>
    </row>
    <row r="373" spans="6:6" ht="15.75" customHeight="1" x14ac:dyDescent="0.15">
      <c r="F373" s="35"/>
    </row>
    <row r="374" spans="6:6" ht="15.75" customHeight="1" x14ac:dyDescent="0.15">
      <c r="F374" s="35"/>
    </row>
    <row r="375" spans="6:6" ht="15.75" customHeight="1" x14ac:dyDescent="0.15">
      <c r="F375" s="35"/>
    </row>
    <row r="376" spans="6:6" ht="15.75" customHeight="1" x14ac:dyDescent="0.15">
      <c r="F376" s="35"/>
    </row>
    <row r="377" spans="6:6" ht="15.75" customHeight="1" x14ac:dyDescent="0.15">
      <c r="F377" s="35"/>
    </row>
    <row r="378" spans="6:6" ht="15.75" customHeight="1" x14ac:dyDescent="0.15">
      <c r="F378" s="35"/>
    </row>
    <row r="379" spans="6:6" ht="15.75" customHeight="1" x14ac:dyDescent="0.15">
      <c r="F379" s="35"/>
    </row>
    <row r="380" spans="6:6" ht="15.75" customHeight="1" x14ac:dyDescent="0.15">
      <c r="F380" s="35"/>
    </row>
    <row r="381" spans="6:6" ht="15.75" customHeight="1" x14ac:dyDescent="0.15">
      <c r="F381" s="35"/>
    </row>
    <row r="382" spans="6:6" ht="15.75" customHeight="1" x14ac:dyDescent="0.15">
      <c r="F382" s="35"/>
    </row>
    <row r="383" spans="6:6" ht="15.75" customHeight="1" x14ac:dyDescent="0.15">
      <c r="F383" s="35"/>
    </row>
    <row r="384" spans="6:6" ht="15.75" customHeight="1" x14ac:dyDescent="0.15">
      <c r="F384" s="35"/>
    </row>
    <row r="385" spans="6:6" ht="15.75" customHeight="1" x14ac:dyDescent="0.15">
      <c r="F385" s="35"/>
    </row>
    <row r="386" spans="6:6" ht="15.75" customHeight="1" x14ac:dyDescent="0.15">
      <c r="F386" s="35"/>
    </row>
    <row r="387" spans="6:6" ht="15.75" customHeight="1" x14ac:dyDescent="0.15">
      <c r="F387" s="35"/>
    </row>
    <row r="388" spans="6:6" ht="15.75" customHeight="1" x14ac:dyDescent="0.15">
      <c r="F388" s="35"/>
    </row>
    <row r="389" spans="6:6" ht="15.75" customHeight="1" x14ac:dyDescent="0.15">
      <c r="F389" s="35"/>
    </row>
    <row r="390" spans="6:6" ht="15.75" customHeight="1" x14ac:dyDescent="0.15">
      <c r="F390" s="35"/>
    </row>
    <row r="391" spans="6:6" ht="15.75" customHeight="1" x14ac:dyDescent="0.15">
      <c r="F391" s="35"/>
    </row>
    <row r="392" spans="6:6" ht="15.75" customHeight="1" x14ac:dyDescent="0.15">
      <c r="F392" s="35"/>
    </row>
    <row r="393" spans="6:6" ht="15.75" customHeight="1" x14ac:dyDescent="0.15">
      <c r="F393" s="35"/>
    </row>
    <row r="394" spans="6:6" ht="15.75" customHeight="1" x14ac:dyDescent="0.15">
      <c r="F394" s="35"/>
    </row>
    <row r="395" spans="6:6" ht="15.75" customHeight="1" x14ac:dyDescent="0.15">
      <c r="F395" s="35"/>
    </row>
    <row r="396" spans="6:6" ht="15.75" customHeight="1" x14ac:dyDescent="0.15">
      <c r="F396" s="35"/>
    </row>
    <row r="397" spans="6:6" ht="15.75" customHeight="1" x14ac:dyDescent="0.15">
      <c r="F397" s="35"/>
    </row>
    <row r="398" spans="6:6" ht="15.75" customHeight="1" x14ac:dyDescent="0.15">
      <c r="F398" s="35"/>
    </row>
    <row r="399" spans="6:6" ht="15.75" customHeight="1" x14ac:dyDescent="0.15">
      <c r="F399" s="35"/>
    </row>
    <row r="400" spans="6:6" ht="15.75" customHeight="1" x14ac:dyDescent="0.15">
      <c r="F400" s="35"/>
    </row>
    <row r="401" spans="6:6" ht="15.75" customHeight="1" x14ac:dyDescent="0.15">
      <c r="F401" s="35"/>
    </row>
    <row r="402" spans="6:6" ht="15.75" customHeight="1" x14ac:dyDescent="0.15">
      <c r="F402" s="35"/>
    </row>
    <row r="403" spans="6:6" ht="15.75" customHeight="1" x14ac:dyDescent="0.15">
      <c r="F403" s="35"/>
    </row>
    <row r="404" spans="6:6" ht="15.75" customHeight="1" x14ac:dyDescent="0.15">
      <c r="F404" s="35"/>
    </row>
    <row r="405" spans="6:6" ht="15.75" customHeight="1" x14ac:dyDescent="0.15">
      <c r="F405" s="35"/>
    </row>
    <row r="406" spans="6:6" ht="15.75" customHeight="1" x14ac:dyDescent="0.15">
      <c r="F406" s="35"/>
    </row>
    <row r="407" spans="6:6" ht="15.75" customHeight="1" x14ac:dyDescent="0.15">
      <c r="F407" s="35"/>
    </row>
    <row r="408" spans="6:6" ht="15.75" customHeight="1" x14ac:dyDescent="0.15">
      <c r="F408" s="35"/>
    </row>
    <row r="409" spans="6:6" ht="15.75" customHeight="1" x14ac:dyDescent="0.15">
      <c r="F409" s="35"/>
    </row>
    <row r="410" spans="6:6" ht="15.75" customHeight="1" x14ac:dyDescent="0.15">
      <c r="F410" s="35"/>
    </row>
    <row r="411" spans="6:6" ht="15.75" customHeight="1" x14ac:dyDescent="0.15">
      <c r="F411" s="35"/>
    </row>
    <row r="412" spans="6:6" ht="15.75" customHeight="1" x14ac:dyDescent="0.15">
      <c r="F412" s="35"/>
    </row>
    <row r="413" spans="6:6" ht="15.75" customHeight="1" x14ac:dyDescent="0.15">
      <c r="F413" s="35"/>
    </row>
    <row r="414" spans="6:6" ht="15.75" customHeight="1" x14ac:dyDescent="0.15">
      <c r="F414" s="35"/>
    </row>
    <row r="415" spans="6:6" ht="15.75" customHeight="1" x14ac:dyDescent="0.15">
      <c r="F415" s="35"/>
    </row>
    <row r="416" spans="6:6" ht="15.75" customHeight="1" x14ac:dyDescent="0.15">
      <c r="F416" s="35"/>
    </row>
    <row r="417" spans="6:6" ht="15.75" customHeight="1" x14ac:dyDescent="0.15">
      <c r="F417" s="35"/>
    </row>
    <row r="418" spans="6:6" ht="15.75" customHeight="1" x14ac:dyDescent="0.15">
      <c r="F418" s="35"/>
    </row>
    <row r="419" spans="6:6" ht="15.75" customHeight="1" x14ac:dyDescent="0.15">
      <c r="F419" s="35"/>
    </row>
    <row r="420" spans="6:6" ht="15.75" customHeight="1" x14ac:dyDescent="0.15">
      <c r="F420" s="35"/>
    </row>
    <row r="421" spans="6:6" ht="15.75" customHeight="1" x14ac:dyDescent="0.15">
      <c r="F421" s="35"/>
    </row>
    <row r="422" spans="6:6" ht="15.75" customHeight="1" x14ac:dyDescent="0.15">
      <c r="F422" s="35"/>
    </row>
    <row r="423" spans="6:6" ht="15.75" customHeight="1" x14ac:dyDescent="0.15">
      <c r="F423" s="35"/>
    </row>
    <row r="424" spans="6:6" ht="15.75" customHeight="1" x14ac:dyDescent="0.15">
      <c r="F424" s="35"/>
    </row>
    <row r="425" spans="6:6" ht="15.75" customHeight="1" x14ac:dyDescent="0.15">
      <c r="F425" s="35"/>
    </row>
    <row r="426" spans="6:6" ht="15.75" customHeight="1" x14ac:dyDescent="0.15">
      <c r="F426" s="35"/>
    </row>
    <row r="427" spans="6:6" ht="15.75" customHeight="1" x14ac:dyDescent="0.15">
      <c r="F427" s="35"/>
    </row>
    <row r="428" spans="6:6" ht="15.75" customHeight="1" x14ac:dyDescent="0.15">
      <c r="F428" s="35"/>
    </row>
    <row r="429" spans="6:6" ht="15.75" customHeight="1" x14ac:dyDescent="0.15">
      <c r="F429" s="35"/>
    </row>
    <row r="430" spans="6:6" ht="15.75" customHeight="1" x14ac:dyDescent="0.15">
      <c r="F430" s="35"/>
    </row>
    <row r="431" spans="6:6" ht="15.75" customHeight="1" x14ac:dyDescent="0.15">
      <c r="F431" s="35"/>
    </row>
    <row r="432" spans="6:6" ht="15.75" customHeight="1" x14ac:dyDescent="0.15">
      <c r="F432" s="35"/>
    </row>
    <row r="433" spans="6:6" ht="15.75" customHeight="1" x14ac:dyDescent="0.15">
      <c r="F433" s="35"/>
    </row>
    <row r="434" spans="6:6" ht="15.75" customHeight="1" x14ac:dyDescent="0.15">
      <c r="F434" s="35"/>
    </row>
    <row r="435" spans="6:6" ht="15.75" customHeight="1" x14ac:dyDescent="0.15">
      <c r="F435" s="35"/>
    </row>
    <row r="436" spans="6:6" ht="15.75" customHeight="1" x14ac:dyDescent="0.15">
      <c r="F436" s="35"/>
    </row>
    <row r="437" spans="6:6" ht="15.75" customHeight="1" x14ac:dyDescent="0.15">
      <c r="F437" s="35"/>
    </row>
    <row r="438" spans="6:6" ht="15.75" customHeight="1" x14ac:dyDescent="0.15">
      <c r="F438" s="35"/>
    </row>
    <row r="439" spans="6:6" ht="15.75" customHeight="1" x14ac:dyDescent="0.15">
      <c r="F439" s="35"/>
    </row>
    <row r="440" spans="6:6" ht="15.75" customHeight="1" x14ac:dyDescent="0.15">
      <c r="F440" s="35"/>
    </row>
    <row r="441" spans="6:6" ht="15.75" customHeight="1" x14ac:dyDescent="0.15">
      <c r="F441" s="35"/>
    </row>
    <row r="442" spans="6:6" ht="15.75" customHeight="1" x14ac:dyDescent="0.15">
      <c r="F442" s="35"/>
    </row>
    <row r="443" spans="6:6" ht="15.75" customHeight="1" x14ac:dyDescent="0.15">
      <c r="F443" s="35"/>
    </row>
    <row r="444" spans="6:6" ht="15.75" customHeight="1" x14ac:dyDescent="0.15">
      <c r="F444" s="35"/>
    </row>
    <row r="445" spans="6:6" ht="15.75" customHeight="1" x14ac:dyDescent="0.15">
      <c r="F445" s="35"/>
    </row>
    <row r="446" spans="6:6" ht="15.75" customHeight="1" x14ac:dyDescent="0.15">
      <c r="F446" s="35"/>
    </row>
    <row r="447" spans="6:6" ht="15.75" customHeight="1" x14ac:dyDescent="0.15">
      <c r="F447" s="35"/>
    </row>
    <row r="448" spans="6:6" ht="15.75" customHeight="1" x14ac:dyDescent="0.15">
      <c r="F448" s="35"/>
    </row>
    <row r="449" spans="6:6" ht="15.75" customHeight="1" x14ac:dyDescent="0.15">
      <c r="F449" s="35"/>
    </row>
    <row r="450" spans="6:6" ht="15.75" customHeight="1" x14ac:dyDescent="0.15">
      <c r="F450" s="35"/>
    </row>
    <row r="451" spans="6:6" ht="15.75" customHeight="1" x14ac:dyDescent="0.15">
      <c r="F451" s="35"/>
    </row>
    <row r="452" spans="6:6" ht="15.75" customHeight="1" x14ac:dyDescent="0.15">
      <c r="F452" s="35"/>
    </row>
    <row r="453" spans="6:6" ht="15.75" customHeight="1" x14ac:dyDescent="0.15">
      <c r="F453" s="35"/>
    </row>
    <row r="454" spans="6:6" ht="15.75" customHeight="1" x14ac:dyDescent="0.15">
      <c r="F454" s="35"/>
    </row>
    <row r="455" spans="6:6" ht="15.75" customHeight="1" x14ac:dyDescent="0.15">
      <c r="F455" s="35"/>
    </row>
    <row r="456" spans="6:6" ht="15.75" customHeight="1" x14ac:dyDescent="0.15">
      <c r="F456" s="35"/>
    </row>
    <row r="457" spans="6:6" ht="15.75" customHeight="1" x14ac:dyDescent="0.15">
      <c r="F457" s="35"/>
    </row>
    <row r="458" spans="6:6" ht="15.75" customHeight="1" x14ac:dyDescent="0.15">
      <c r="F458" s="35"/>
    </row>
    <row r="459" spans="6:6" ht="15.75" customHeight="1" x14ac:dyDescent="0.15">
      <c r="F459" s="35"/>
    </row>
    <row r="460" spans="6:6" ht="15.75" customHeight="1" x14ac:dyDescent="0.15">
      <c r="F460" s="35"/>
    </row>
    <row r="461" spans="6:6" ht="15.75" customHeight="1" x14ac:dyDescent="0.15">
      <c r="F461" s="35"/>
    </row>
    <row r="462" spans="6:6" ht="15.75" customHeight="1" x14ac:dyDescent="0.15">
      <c r="F462" s="35"/>
    </row>
    <row r="463" spans="6:6" ht="15.75" customHeight="1" x14ac:dyDescent="0.15">
      <c r="F463" s="35"/>
    </row>
    <row r="464" spans="6:6" ht="15.75" customHeight="1" x14ac:dyDescent="0.15">
      <c r="F464" s="35"/>
    </row>
    <row r="465" spans="6:6" ht="15.75" customHeight="1" x14ac:dyDescent="0.15">
      <c r="F465" s="35"/>
    </row>
    <row r="466" spans="6:6" ht="15.75" customHeight="1" x14ac:dyDescent="0.15">
      <c r="F466" s="35"/>
    </row>
    <row r="467" spans="6:6" ht="15.75" customHeight="1" x14ac:dyDescent="0.15">
      <c r="F467" s="35"/>
    </row>
    <row r="468" spans="6:6" ht="15.75" customHeight="1" x14ac:dyDescent="0.15">
      <c r="F468" s="35"/>
    </row>
    <row r="469" spans="6:6" ht="15.75" customHeight="1" x14ac:dyDescent="0.15">
      <c r="F469" s="35"/>
    </row>
    <row r="470" spans="6:6" ht="15.75" customHeight="1" x14ac:dyDescent="0.15">
      <c r="F470" s="35"/>
    </row>
    <row r="471" spans="6:6" ht="15.75" customHeight="1" x14ac:dyDescent="0.15">
      <c r="F471" s="35"/>
    </row>
    <row r="472" spans="6:6" ht="15.75" customHeight="1" x14ac:dyDescent="0.15">
      <c r="F472" s="35"/>
    </row>
    <row r="473" spans="6:6" ht="15.75" customHeight="1" x14ac:dyDescent="0.15">
      <c r="F473" s="35"/>
    </row>
    <row r="474" spans="6:6" ht="15.75" customHeight="1" x14ac:dyDescent="0.15">
      <c r="F474" s="35"/>
    </row>
    <row r="475" spans="6:6" ht="15.75" customHeight="1" x14ac:dyDescent="0.15">
      <c r="F475" s="35"/>
    </row>
    <row r="476" spans="6:6" ht="15.75" customHeight="1" x14ac:dyDescent="0.15">
      <c r="F476" s="35"/>
    </row>
    <row r="477" spans="6:6" ht="15.75" customHeight="1" x14ac:dyDescent="0.15">
      <c r="F477" s="35"/>
    </row>
    <row r="478" spans="6:6" ht="15.75" customHeight="1" x14ac:dyDescent="0.15">
      <c r="F478" s="35"/>
    </row>
    <row r="479" spans="6:6" ht="15.75" customHeight="1" x14ac:dyDescent="0.15">
      <c r="F479" s="35"/>
    </row>
    <row r="480" spans="6:6" ht="15.75" customHeight="1" x14ac:dyDescent="0.15">
      <c r="F480" s="35"/>
    </row>
    <row r="481" spans="6:6" ht="15.75" customHeight="1" x14ac:dyDescent="0.15">
      <c r="F481" s="35"/>
    </row>
    <row r="482" spans="6:6" ht="15.75" customHeight="1" x14ac:dyDescent="0.15">
      <c r="F482" s="35"/>
    </row>
    <row r="483" spans="6:6" ht="15.75" customHeight="1" x14ac:dyDescent="0.15">
      <c r="F483" s="35"/>
    </row>
    <row r="484" spans="6:6" ht="15.75" customHeight="1" x14ac:dyDescent="0.15">
      <c r="F484" s="35"/>
    </row>
    <row r="485" spans="6:6" ht="15.75" customHeight="1" x14ac:dyDescent="0.15">
      <c r="F485" s="35"/>
    </row>
    <row r="486" spans="6:6" ht="15.75" customHeight="1" x14ac:dyDescent="0.15">
      <c r="F486" s="35"/>
    </row>
    <row r="487" spans="6:6" ht="15.75" customHeight="1" x14ac:dyDescent="0.15">
      <c r="F487" s="35"/>
    </row>
    <row r="488" spans="6:6" ht="15.75" customHeight="1" x14ac:dyDescent="0.15">
      <c r="F488" s="35"/>
    </row>
    <row r="489" spans="6:6" ht="15.75" customHeight="1" x14ac:dyDescent="0.15">
      <c r="F489" s="35"/>
    </row>
    <row r="490" spans="6:6" ht="15.75" customHeight="1" x14ac:dyDescent="0.15">
      <c r="F490" s="35"/>
    </row>
    <row r="491" spans="6:6" ht="15.75" customHeight="1" x14ac:dyDescent="0.15">
      <c r="F491" s="35"/>
    </row>
    <row r="492" spans="6:6" ht="15.75" customHeight="1" x14ac:dyDescent="0.15">
      <c r="F492" s="35"/>
    </row>
    <row r="493" spans="6:6" ht="15.75" customHeight="1" x14ac:dyDescent="0.15">
      <c r="F493" s="35"/>
    </row>
    <row r="494" spans="6:6" ht="15.75" customHeight="1" x14ac:dyDescent="0.15">
      <c r="F494" s="35"/>
    </row>
    <row r="495" spans="6:6" ht="15.75" customHeight="1" x14ac:dyDescent="0.15">
      <c r="F495" s="35"/>
    </row>
    <row r="496" spans="6:6" ht="15.75" customHeight="1" x14ac:dyDescent="0.15">
      <c r="F496" s="35"/>
    </row>
    <row r="497" spans="6:6" ht="15.75" customHeight="1" x14ac:dyDescent="0.15">
      <c r="F497" s="35"/>
    </row>
    <row r="498" spans="6:6" ht="15.75" customHeight="1" x14ac:dyDescent="0.15">
      <c r="F498" s="35"/>
    </row>
    <row r="499" spans="6:6" ht="15.75" customHeight="1" x14ac:dyDescent="0.15">
      <c r="F499" s="35"/>
    </row>
    <row r="500" spans="6:6" ht="15.75" customHeight="1" x14ac:dyDescent="0.15">
      <c r="F500" s="35"/>
    </row>
    <row r="501" spans="6:6" ht="15.75" customHeight="1" x14ac:dyDescent="0.15">
      <c r="F501" s="35"/>
    </row>
    <row r="502" spans="6:6" ht="15.75" customHeight="1" x14ac:dyDescent="0.15">
      <c r="F502" s="35"/>
    </row>
    <row r="503" spans="6:6" ht="15.75" customHeight="1" x14ac:dyDescent="0.15">
      <c r="F503" s="35"/>
    </row>
    <row r="504" spans="6:6" ht="15.75" customHeight="1" x14ac:dyDescent="0.15">
      <c r="F504" s="35"/>
    </row>
    <row r="505" spans="6:6" ht="15.75" customHeight="1" x14ac:dyDescent="0.15">
      <c r="F505" s="35"/>
    </row>
    <row r="506" spans="6:6" ht="15.75" customHeight="1" x14ac:dyDescent="0.15">
      <c r="F506" s="35"/>
    </row>
    <row r="507" spans="6:6" ht="15.75" customHeight="1" x14ac:dyDescent="0.15">
      <c r="F507" s="35"/>
    </row>
    <row r="508" spans="6:6" ht="15.75" customHeight="1" x14ac:dyDescent="0.15">
      <c r="F508" s="35"/>
    </row>
    <row r="509" spans="6:6" ht="15.75" customHeight="1" x14ac:dyDescent="0.15">
      <c r="F509" s="35"/>
    </row>
    <row r="510" spans="6:6" ht="15.75" customHeight="1" x14ac:dyDescent="0.15">
      <c r="F510" s="35"/>
    </row>
    <row r="511" spans="6:6" ht="15.75" customHeight="1" x14ac:dyDescent="0.15">
      <c r="F511" s="35"/>
    </row>
    <row r="512" spans="6:6" ht="15.75" customHeight="1" x14ac:dyDescent="0.15">
      <c r="F512" s="35"/>
    </row>
    <row r="513" spans="6:6" ht="15.75" customHeight="1" x14ac:dyDescent="0.15">
      <c r="F513" s="35"/>
    </row>
    <row r="514" spans="6:6" ht="15.75" customHeight="1" x14ac:dyDescent="0.15">
      <c r="F514" s="35"/>
    </row>
    <row r="515" spans="6:6" ht="15.75" customHeight="1" x14ac:dyDescent="0.15">
      <c r="F515" s="35"/>
    </row>
    <row r="516" spans="6:6" ht="15.75" customHeight="1" x14ac:dyDescent="0.15">
      <c r="F516" s="35"/>
    </row>
    <row r="517" spans="6:6" ht="15.75" customHeight="1" x14ac:dyDescent="0.15">
      <c r="F517" s="35"/>
    </row>
    <row r="518" spans="6:6" ht="15.75" customHeight="1" x14ac:dyDescent="0.15">
      <c r="F518" s="35"/>
    </row>
    <row r="519" spans="6:6" ht="15.75" customHeight="1" x14ac:dyDescent="0.15">
      <c r="F519" s="35"/>
    </row>
    <row r="520" spans="6:6" ht="15.75" customHeight="1" x14ac:dyDescent="0.15">
      <c r="F520" s="35"/>
    </row>
    <row r="521" spans="6:6" ht="15.75" customHeight="1" x14ac:dyDescent="0.15">
      <c r="F521" s="35"/>
    </row>
    <row r="522" spans="6:6" ht="15.75" customHeight="1" x14ac:dyDescent="0.15">
      <c r="F522" s="35"/>
    </row>
    <row r="523" spans="6:6" ht="15.75" customHeight="1" x14ac:dyDescent="0.15">
      <c r="F523" s="35"/>
    </row>
    <row r="524" spans="6:6" ht="15.75" customHeight="1" x14ac:dyDescent="0.15">
      <c r="F524" s="35"/>
    </row>
    <row r="525" spans="6:6" ht="15.75" customHeight="1" x14ac:dyDescent="0.15">
      <c r="F525" s="35"/>
    </row>
    <row r="526" spans="6:6" ht="15.75" customHeight="1" x14ac:dyDescent="0.15">
      <c r="F526" s="35"/>
    </row>
    <row r="527" spans="6:6" ht="15.75" customHeight="1" x14ac:dyDescent="0.15">
      <c r="F527" s="35"/>
    </row>
    <row r="528" spans="6:6" ht="15.75" customHeight="1" x14ac:dyDescent="0.15">
      <c r="F528" s="35"/>
    </row>
    <row r="529" spans="6:6" ht="15.75" customHeight="1" x14ac:dyDescent="0.15">
      <c r="F529" s="35"/>
    </row>
    <row r="530" spans="6:6" ht="15.75" customHeight="1" x14ac:dyDescent="0.15">
      <c r="F530" s="35"/>
    </row>
    <row r="531" spans="6:6" ht="15.75" customHeight="1" x14ac:dyDescent="0.15">
      <c r="F531" s="35"/>
    </row>
    <row r="532" spans="6:6" ht="15.75" customHeight="1" x14ac:dyDescent="0.15">
      <c r="F532" s="35"/>
    </row>
    <row r="533" spans="6:6" ht="15.75" customHeight="1" x14ac:dyDescent="0.15">
      <c r="F533" s="35"/>
    </row>
    <row r="534" spans="6:6" ht="15.75" customHeight="1" x14ac:dyDescent="0.15">
      <c r="F534" s="35"/>
    </row>
    <row r="535" spans="6:6" ht="15.75" customHeight="1" x14ac:dyDescent="0.15">
      <c r="F535" s="35"/>
    </row>
    <row r="536" spans="6:6" ht="15.75" customHeight="1" x14ac:dyDescent="0.15">
      <c r="F536" s="35"/>
    </row>
    <row r="537" spans="6:6" ht="15.75" customHeight="1" x14ac:dyDescent="0.15">
      <c r="F537" s="35"/>
    </row>
    <row r="538" spans="6:6" ht="15.75" customHeight="1" x14ac:dyDescent="0.15">
      <c r="F538" s="35"/>
    </row>
    <row r="539" spans="6:6" ht="15.75" customHeight="1" x14ac:dyDescent="0.15">
      <c r="F539" s="35"/>
    </row>
    <row r="540" spans="6:6" ht="15.75" customHeight="1" x14ac:dyDescent="0.15">
      <c r="F540" s="35"/>
    </row>
    <row r="541" spans="6:6" ht="15.75" customHeight="1" x14ac:dyDescent="0.15">
      <c r="F541" s="35"/>
    </row>
    <row r="542" spans="6:6" ht="15.75" customHeight="1" x14ac:dyDescent="0.15">
      <c r="F542" s="35"/>
    </row>
    <row r="543" spans="6:6" ht="15.75" customHeight="1" x14ac:dyDescent="0.15">
      <c r="F543" s="35"/>
    </row>
    <row r="544" spans="6:6" ht="15.75" customHeight="1" x14ac:dyDescent="0.15">
      <c r="F544" s="35"/>
    </row>
    <row r="545" spans="6:6" ht="15.75" customHeight="1" x14ac:dyDescent="0.15">
      <c r="F545" s="35"/>
    </row>
    <row r="546" spans="6:6" ht="15.75" customHeight="1" x14ac:dyDescent="0.15">
      <c r="F546" s="35"/>
    </row>
    <row r="547" spans="6:6" ht="15.75" customHeight="1" x14ac:dyDescent="0.15">
      <c r="F547" s="35"/>
    </row>
    <row r="548" spans="6:6" ht="15.75" customHeight="1" x14ac:dyDescent="0.15">
      <c r="F548" s="35"/>
    </row>
    <row r="549" spans="6:6" ht="15.75" customHeight="1" x14ac:dyDescent="0.15">
      <c r="F549" s="35"/>
    </row>
    <row r="550" spans="6:6" ht="15.75" customHeight="1" x14ac:dyDescent="0.15">
      <c r="F550" s="35"/>
    </row>
    <row r="551" spans="6:6" ht="15.75" customHeight="1" x14ac:dyDescent="0.15">
      <c r="F551" s="35"/>
    </row>
    <row r="552" spans="6:6" ht="15.75" customHeight="1" x14ac:dyDescent="0.15">
      <c r="F552" s="35"/>
    </row>
    <row r="553" spans="6:6" ht="15.75" customHeight="1" x14ac:dyDescent="0.15">
      <c r="F553" s="35"/>
    </row>
    <row r="554" spans="6:6" ht="15.75" customHeight="1" x14ac:dyDescent="0.15">
      <c r="F554" s="35"/>
    </row>
    <row r="555" spans="6:6" ht="15.75" customHeight="1" x14ac:dyDescent="0.15">
      <c r="F555" s="35"/>
    </row>
    <row r="556" spans="6:6" ht="15.75" customHeight="1" x14ac:dyDescent="0.15">
      <c r="F556" s="35"/>
    </row>
    <row r="557" spans="6:6" ht="15.75" customHeight="1" x14ac:dyDescent="0.15">
      <c r="F557" s="35"/>
    </row>
    <row r="558" spans="6:6" ht="15.75" customHeight="1" x14ac:dyDescent="0.15">
      <c r="F558" s="35"/>
    </row>
    <row r="559" spans="6:6" ht="15.75" customHeight="1" x14ac:dyDescent="0.15">
      <c r="F559" s="35"/>
    </row>
    <row r="560" spans="6:6" ht="15.75" customHeight="1" x14ac:dyDescent="0.15">
      <c r="F560" s="35"/>
    </row>
    <row r="561" spans="6:6" ht="15.75" customHeight="1" x14ac:dyDescent="0.15">
      <c r="F561" s="35"/>
    </row>
    <row r="562" spans="6:6" ht="15.75" customHeight="1" x14ac:dyDescent="0.15">
      <c r="F562" s="35"/>
    </row>
    <row r="563" spans="6:6" ht="15.75" customHeight="1" x14ac:dyDescent="0.15">
      <c r="F563" s="35"/>
    </row>
    <row r="564" spans="6:6" ht="15.75" customHeight="1" x14ac:dyDescent="0.15">
      <c r="F564" s="35"/>
    </row>
    <row r="565" spans="6:6" ht="15.75" customHeight="1" x14ac:dyDescent="0.15">
      <c r="F565" s="35"/>
    </row>
    <row r="566" spans="6:6" ht="15.75" customHeight="1" x14ac:dyDescent="0.15">
      <c r="F566" s="35"/>
    </row>
    <row r="567" spans="6:6" ht="15.75" customHeight="1" x14ac:dyDescent="0.15">
      <c r="F567" s="35"/>
    </row>
    <row r="568" spans="6:6" ht="15.75" customHeight="1" x14ac:dyDescent="0.15">
      <c r="F568" s="35"/>
    </row>
    <row r="569" spans="6:6" ht="15.75" customHeight="1" x14ac:dyDescent="0.15">
      <c r="F569" s="35"/>
    </row>
    <row r="570" spans="6:6" ht="15.75" customHeight="1" x14ac:dyDescent="0.15">
      <c r="F570" s="35"/>
    </row>
    <row r="571" spans="6:6" ht="15.75" customHeight="1" x14ac:dyDescent="0.15">
      <c r="F571" s="35"/>
    </row>
    <row r="572" spans="6:6" ht="15.75" customHeight="1" x14ac:dyDescent="0.15">
      <c r="F572" s="35"/>
    </row>
    <row r="573" spans="6:6" ht="15.75" customHeight="1" x14ac:dyDescent="0.15">
      <c r="F573" s="35"/>
    </row>
    <row r="574" spans="6:6" ht="15.75" customHeight="1" x14ac:dyDescent="0.15">
      <c r="F574" s="35"/>
    </row>
    <row r="575" spans="6:6" ht="15.75" customHeight="1" x14ac:dyDescent="0.15">
      <c r="F575" s="35"/>
    </row>
    <row r="576" spans="6:6" ht="15.75" customHeight="1" x14ac:dyDescent="0.15">
      <c r="F576" s="35"/>
    </row>
    <row r="577" spans="6:6" ht="15.75" customHeight="1" x14ac:dyDescent="0.15">
      <c r="F577" s="35"/>
    </row>
    <row r="578" spans="6:6" ht="15.75" customHeight="1" x14ac:dyDescent="0.15">
      <c r="F578" s="35"/>
    </row>
    <row r="579" spans="6:6" ht="15.75" customHeight="1" x14ac:dyDescent="0.15">
      <c r="F579" s="35"/>
    </row>
    <row r="580" spans="6:6" ht="15.75" customHeight="1" x14ac:dyDescent="0.15">
      <c r="F580" s="35"/>
    </row>
    <row r="581" spans="6:6" ht="15.75" customHeight="1" x14ac:dyDescent="0.15">
      <c r="F581" s="35"/>
    </row>
    <row r="582" spans="6:6" ht="15.75" customHeight="1" x14ac:dyDescent="0.15">
      <c r="F582" s="35"/>
    </row>
    <row r="583" spans="6:6" ht="15.75" customHeight="1" x14ac:dyDescent="0.15">
      <c r="F583" s="35"/>
    </row>
    <row r="584" spans="6:6" ht="15.75" customHeight="1" x14ac:dyDescent="0.15">
      <c r="F584" s="35"/>
    </row>
    <row r="585" spans="6:6" ht="15.75" customHeight="1" x14ac:dyDescent="0.15">
      <c r="F585" s="35"/>
    </row>
    <row r="586" spans="6:6" ht="15.75" customHeight="1" x14ac:dyDescent="0.15">
      <c r="F586" s="35"/>
    </row>
    <row r="587" spans="6:6" ht="15.75" customHeight="1" x14ac:dyDescent="0.15">
      <c r="F587" s="35"/>
    </row>
    <row r="588" spans="6:6" ht="15.75" customHeight="1" x14ac:dyDescent="0.15">
      <c r="F588" s="35"/>
    </row>
    <row r="589" spans="6:6" ht="15.75" customHeight="1" x14ac:dyDescent="0.15">
      <c r="F589" s="35"/>
    </row>
    <row r="590" spans="6:6" ht="15.75" customHeight="1" x14ac:dyDescent="0.15">
      <c r="F590" s="35"/>
    </row>
    <row r="591" spans="6:6" ht="15.75" customHeight="1" x14ac:dyDescent="0.15">
      <c r="F591" s="35"/>
    </row>
    <row r="592" spans="6:6" ht="15.75" customHeight="1" x14ac:dyDescent="0.15">
      <c r="F592" s="35"/>
    </row>
    <row r="593" spans="6:6" ht="15.75" customHeight="1" x14ac:dyDescent="0.15">
      <c r="F593" s="35"/>
    </row>
    <row r="594" spans="6:6" ht="15.75" customHeight="1" x14ac:dyDescent="0.15">
      <c r="F594" s="35"/>
    </row>
    <row r="595" spans="6:6" ht="15.75" customHeight="1" x14ac:dyDescent="0.15">
      <c r="F595" s="35"/>
    </row>
    <row r="596" spans="6:6" ht="15.75" customHeight="1" x14ac:dyDescent="0.15">
      <c r="F596" s="35"/>
    </row>
    <row r="597" spans="6:6" ht="15.75" customHeight="1" x14ac:dyDescent="0.15">
      <c r="F597" s="35"/>
    </row>
    <row r="598" spans="6:6" ht="15.75" customHeight="1" x14ac:dyDescent="0.15">
      <c r="F598" s="35"/>
    </row>
    <row r="599" spans="6:6" ht="15.75" customHeight="1" x14ac:dyDescent="0.15">
      <c r="F599" s="35"/>
    </row>
    <row r="600" spans="6:6" ht="15.75" customHeight="1" x14ac:dyDescent="0.15">
      <c r="F600" s="35"/>
    </row>
    <row r="601" spans="6:6" ht="15.75" customHeight="1" x14ac:dyDescent="0.15">
      <c r="F601" s="35"/>
    </row>
    <row r="602" spans="6:6" ht="15.75" customHeight="1" x14ac:dyDescent="0.15">
      <c r="F602" s="35"/>
    </row>
    <row r="603" spans="6:6" ht="15.75" customHeight="1" x14ac:dyDescent="0.15">
      <c r="F603" s="35"/>
    </row>
    <row r="604" spans="6:6" ht="15.75" customHeight="1" x14ac:dyDescent="0.15">
      <c r="F604" s="35"/>
    </row>
    <row r="605" spans="6:6" ht="15.75" customHeight="1" x14ac:dyDescent="0.15">
      <c r="F605" s="35"/>
    </row>
    <row r="606" spans="6:6" ht="15.75" customHeight="1" x14ac:dyDescent="0.15">
      <c r="F606" s="35"/>
    </row>
    <row r="607" spans="6:6" ht="15.75" customHeight="1" x14ac:dyDescent="0.15">
      <c r="F607" s="35"/>
    </row>
    <row r="608" spans="6:6" ht="15.75" customHeight="1" x14ac:dyDescent="0.15">
      <c r="F608" s="35"/>
    </row>
    <row r="609" spans="6:6" ht="15.75" customHeight="1" x14ac:dyDescent="0.15">
      <c r="F609" s="35"/>
    </row>
    <row r="610" spans="6:6" ht="15.75" customHeight="1" x14ac:dyDescent="0.15">
      <c r="F610" s="35"/>
    </row>
    <row r="611" spans="6:6" ht="15.75" customHeight="1" x14ac:dyDescent="0.15">
      <c r="F611" s="35"/>
    </row>
    <row r="612" spans="6:6" ht="15.75" customHeight="1" x14ac:dyDescent="0.15">
      <c r="F612" s="35"/>
    </row>
    <row r="613" spans="6:6" ht="15.75" customHeight="1" x14ac:dyDescent="0.15">
      <c r="F613" s="35"/>
    </row>
    <row r="614" spans="6:6" ht="15.75" customHeight="1" x14ac:dyDescent="0.15">
      <c r="F614" s="35"/>
    </row>
    <row r="615" spans="6:6" ht="15.75" customHeight="1" x14ac:dyDescent="0.15">
      <c r="F615" s="35"/>
    </row>
    <row r="616" spans="6:6" ht="15.75" customHeight="1" x14ac:dyDescent="0.15">
      <c r="F616" s="35"/>
    </row>
    <row r="617" spans="6:6" ht="15.75" customHeight="1" x14ac:dyDescent="0.15">
      <c r="F617" s="35"/>
    </row>
    <row r="618" spans="6:6" ht="15.75" customHeight="1" x14ac:dyDescent="0.15">
      <c r="F618" s="35"/>
    </row>
    <row r="619" spans="6:6" ht="15.75" customHeight="1" x14ac:dyDescent="0.15">
      <c r="F619" s="35"/>
    </row>
    <row r="620" spans="6:6" ht="15.75" customHeight="1" x14ac:dyDescent="0.15">
      <c r="F620" s="35"/>
    </row>
    <row r="621" spans="6:6" ht="15.75" customHeight="1" x14ac:dyDescent="0.15">
      <c r="F621" s="35"/>
    </row>
    <row r="622" spans="6:6" ht="15.75" customHeight="1" x14ac:dyDescent="0.15">
      <c r="F622" s="35"/>
    </row>
    <row r="623" spans="6:6" ht="15.75" customHeight="1" x14ac:dyDescent="0.15">
      <c r="F623" s="35"/>
    </row>
    <row r="624" spans="6:6" ht="15.75" customHeight="1" x14ac:dyDescent="0.15">
      <c r="F624" s="35"/>
    </row>
    <row r="625" spans="6:6" ht="15.75" customHeight="1" x14ac:dyDescent="0.15">
      <c r="F625" s="35"/>
    </row>
    <row r="626" spans="6:6" ht="15.75" customHeight="1" x14ac:dyDescent="0.15">
      <c r="F626" s="35"/>
    </row>
    <row r="627" spans="6:6" ht="15.75" customHeight="1" x14ac:dyDescent="0.15">
      <c r="F627" s="35"/>
    </row>
    <row r="628" spans="6:6" ht="15.75" customHeight="1" x14ac:dyDescent="0.15">
      <c r="F628" s="35"/>
    </row>
    <row r="629" spans="6:6" ht="15.75" customHeight="1" x14ac:dyDescent="0.15">
      <c r="F629" s="35"/>
    </row>
    <row r="630" spans="6:6" ht="15.75" customHeight="1" x14ac:dyDescent="0.15">
      <c r="F630" s="35"/>
    </row>
    <row r="631" spans="6:6" ht="15.75" customHeight="1" x14ac:dyDescent="0.15">
      <c r="F631" s="35"/>
    </row>
    <row r="632" spans="6:6" ht="15.75" customHeight="1" x14ac:dyDescent="0.15">
      <c r="F632" s="35"/>
    </row>
    <row r="633" spans="6:6" ht="15.75" customHeight="1" x14ac:dyDescent="0.15">
      <c r="F633" s="35"/>
    </row>
    <row r="634" spans="6:6" ht="15.75" customHeight="1" x14ac:dyDescent="0.15">
      <c r="F634" s="35"/>
    </row>
    <row r="635" spans="6:6" ht="15.75" customHeight="1" x14ac:dyDescent="0.15">
      <c r="F635" s="35"/>
    </row>
    <row r="636" spans="6:6" ht="15.75" customHeight="1" x14ac:dyDescent="0.15">
      <c r="F636" s="35"/>
    </row>
    <row r="637" spans="6:6" ht="15.75" customHeight="1" x14ac:dyDescent="0.15">
      <c r="F637" s="35"/>
    </row>
    <row r="638" spans="6:6" ht="15.75" customHeight="1" x14ac:dyDescent="0.15">
      <c r="F638" s="35"/>
    </row>
    <row r="639" spans="6:6" ht="15.75" customHeight="1" x14ac:dyDescent="0.15">
      <c r="F639" s="35"/>
    </row>
    <row r="640" spans="6:6" ht="15.75" customHeight="1" x14ac:dyDescent="0.15">
      <c r="F640" s="35"/>
    </row>
    <row r="641" spans="6:6" ht="15.75" customHeight="1" x14ac:dyDescent="0.15">
      <c r="F641" s="35"/>
    </row>
    <row r="642" spans="6:6" ht="15.75" customHeight="1" x14ac:dyDescent="0.15">
      <c r="F642" s="35"/>
    </row>
    <row r="643" spans="6:6" ht="15.75" customHeight="1" x14ac:dyDescent="0.15">
      <c r="F643" s="35"/>
    </row>
    <row r="644" spans="6:6" ht="15.75" customHeight="1" x14ac:dyDescent="0.15">
      <c r="F644" s="35"/>
    </row>
    <row r="645" spans="6:6" ht="15.75" customHeight="1" x14ac:dyDescent="0.15">
      <c r="F645" s="35"/>
    </row>
    <row r="646" spans="6:6" ht="15.75" customHeight="1" x14ac:dyDescent="0.15">
      <c r="F646" s="35"/>
    </row>
    <row r="647" spans="6:6" ht="15.75" customHeight="1" x14ac:dyDescent="0.15">
      <c r="F647" s="35"/>
    </row>
    <row r="648" spans="6:6" ht="15.75" customHeight="1" x14ac:dyDescent="0.15">
      <c r="F648" s="35"/>
    </row>
    <row r="649" spans="6:6" ht="15.75" customHeight="1" x14ac:dyDescent="0.15">
      <c r="F649" s="35"/>
    </row>
    <row r="650" spans="6:6" ht="15.75" customHeight="1" x14ac:dyDescent="0.15">
      <c r="F650" s="35"/>
    </row>
    <row r="651" spans="6:6" ht="15.75" customHeight="1" x14ac:dyDescent="0.15">
      <c r="F651" s="35"/>
    </row>
    <row r="652" spans="6:6" ht="15.75" customHeight="1" x14ac:dyDescent="0.15">
      <c r="F652" s="35"/>
    </row>
    <row r="653" spans="6:6" ht="15.75" customHeight="1" x14ac:dyDescent="0.15">
      <c r="F653" s="35"/>
    </row>
    <row r="654" spans="6:6" ht="15.75" customHeight="1" x14ac:dyDescent="0.15">
      <c r="F654" s="35"/>
    </row>
    <row r="655" spans="6:6" ht="15.75" customHeight="1" x14ac:dyDescent="0.15">
      <c r="F655" s="35"/>
    </row>
    <row r="656" spans="6:6" ht="15.75" customHeight="1" x14ac:dyDescent="0.15">
      <c r="F656" s="35"/>
    </row>
    <row r="657" spans="6:6" ht="15.75" customHeight="1" x14ac:dyDescent="0.15">
      <c r="F657" s="35"/>
    </row>
    <row r="658" spans="6:6" ht="15.75" customHeight="1" x14ac:dyDescent="0.15">
      <c r="F658" s="35"/>
    </row>
    <row r="659" spans="6:6" ht="15.75" customHeight="1" x14ac:dyDescent="0.15">
      <c r="F659" s="35"/>
    </row>
    <row r="660" spans="6:6" ht="15.75" customHeight="1" x14ac:dyDescent="0.15">
      <c r="F660" s="35"/>
    </row>
    <row r="661" spans="6:6" ht="15.75" customHeight="1" x14ac:dyDescent="0.15">
      <c r="F661" s="35"/>
    </row>
    <row r="662" spans="6:6" ht="15.75" customHeight="1" x14ac:dyDescent="0.15">
      <c r="F662" s="35"/>
    </row>
    <row r="663" spans="6:6" ht="15.75" customHeight="1" x14ac:dyDescent="0.15">
      <c r="F663" s="35"/>
    </row>
    <row r="664" spans="6:6" ht="15.75" customHeight="1" x14ac:dyDescent="0.15">
      <c r="F664" s="35"/>
    </row>
    <row r="665" spans="6:6" ht="15.75" customHeight="1" x14ac:dyDescent="0.15">
      <c r="F665" s="35"/>
    </row>
    <row r="666" spans="6:6" ht="15.75" customHeight="1" x14ac:dyDescent="0.15">
      <c r="F666" s="35"/>
    </row>
    <row r="667" spans="6:6" ht="15.75" customHeight="1" x14ac:dyDescent="0.15">
      <c r="F667" s="35"/>
    </row>
    <row r="668" spans="6:6" ht="15.75" customHeight="1" x14ac:dyDescent="0.15">
      <c r="F668" s="35"/>
    </row>
    <row r="669" spans="6:6" ht="15.75" customHeight="1" x14ac:dyDescent="0.15">
      <c r="F669" s="35"/>
    </row>
    <row r="670" spans="6:6" ht="15.75" customHeight="1" x14ac:dyDescent="0.15">
      <c r="F670" s="35"/>
    </row>
    <row r="671" spans="6:6" ht="15.75" customHeight="1" x14ac:dyDescent="0.15">
      <c r="F671" s="35"/>
    </row>
    <row r="672" spans="6:6" ht="15.75" customHeight="1" x14ac:dyDescent="0.15">
      <c r="F672" s="35"/>
    </row>
    <row r="673" spans="6:6" ht="15.75" customHeight="1" x14ac:dyDescent="0.15">
      <c r="F673" s="35"/>
    </row>
    <row r="674" spans="6:6" ht="15.75" customHeight="1" x14ac:dyDescent="0.15">
      <c r="F674" s="35"/>
    </row>
    <row r="675" spans="6:6" ht="15.75" customHeight="1" x14ac:dyDescent="0.15">
      <c r="F675" s="35"/>
    </row>
    <row r="676" spans="6:6" ht="15.75" customHeight="1" x14ac:dyDescent="0.15">
      <c r="F676" s="35"/>
    </row>
    <row r="677" spans="6:6" ht="15.75" customHeight="1" x14ac:dyDescent="0.15">
      <c r="F677" s="35"/>
    </row>
    <row r="678" spans="6:6" ht="15.75" customHeight="1" x14ac:dyDescent="0.15">
      <c r="F678" s="35"/>
    </row>
    <row r="679" spans="6:6" ht="15.75" customHeight="1" x14ac:dyDescent="0.15">
      <c r="F679" s="35"/>
    </row>
    <row r="680" spans="6:6" ht="15.75" customHeight="1" x14ac:dyDescent="0.15">
      <c r="F680" s="35"/>
    </row>
    <row r="681" spans="6:6" ht="15.75" customHeight="1" x14ac:dyDescent="0.15">
      <c r="F681" s="35"/>
    </row>
    <row r="682" spans="6:6" ht="15.75" customHeight="1" x14ac:dyDescent="0.15">
      <c r="F682" s="35"/>
    </row>
    <row r="683" spans="6:6" ht="15.75" customHeight="1" x14ac:dyDescent="0.15">
      <c r="F683" s="35"/>
    </row>
    <row r="684" spans="6:6" ht="15.75" customHeight="1" x14ac:dyDescent="0.15">
      <c r="F684" s="35"/>
    </row>
    <row r="685" spans="6:6" ht="15.75" customHeight="1" x14ac:dyDescent="0.15">
      <c r="F685" s="35"/>
    </row>
    <row r="686" spans="6:6" ht="15.75" customHeight="1" x14ac:dyDescent="0.15">
      <c r="F686" s="35"/>
    </row>
    <row r="687" spans="6:6" ht="15.75" customHeight="1" x14ac:dyDescent="0.15">
      <c r="F687" s="35"/>
    </row>
    <row r="688" spans="6:6" ht="15.75" customHeight="1" x14ac:dyDescent="0.15">
      <c r="F688" s="35"/>
    </row>
    <row r="689" spans="6:6" ht="15.75" customHeight="1" x14ac:dyDescent="0.15">
      <c r="F689" s="35"/>
    </row>
    <row r="690" spans="6:6" ht="15.75" customHeight="1" x14ac:dyDescent="0.15">
      <c r="F690" s="35"/>
    </row>
    <row r="691" spans="6:6" ht="15.75" customHeight="1" x14ac:dyDescent="0.15">
      <c r="F691" s="35"/>
    </row>
    <row r="692" spans="6:6" ht="15.75" customHeight="1" x14ac:dyDescent="0.15">
      <c r="F692" s="35"/>
    </row>
    <row r="693" spans="6:6" ht="15.75" customHeight="1" x14ac:dyDescent="0.15">
      <c r="F693" s="35"/>
    </row>
    <row r="694" spans="6:6" ht="15.75" customHeight="1" x14ac:dyDescent="0.15">
      <c r="F694" s="35"/>
    </row>
    <row r="695" spans="6:6" ht="15.75" customHeight="1" x14ac:dyDescent="0.15">
      <c r="F695" s="35"/>
    </row>
    <row r="696" spans="6:6" ht="15.75" customHeight="1" x14ac:dyDescent="0.15">
      <c r="F696" s="35"/>
    </row>
    <row r="697" spans="6:6" ht="15.75" customHeight="1" x14ac:dyDescent="0.15">
      <c r="F697" s="35"/>
    </row>
    <row r="698" spans="6:6" ht="15.75" customHeight="1" x14ac:dyDescent="0.15">
      <c r="F698" s="35"/>
    </row>
    <row r="699" spans="6:6" ht="15.75" customHeight="1" x14ac:dyDescent="0.15">
      <c r="F699" s="35"/>
    </row>
    <row r="700" spans="6:6" ht="15.75" customHeight="1" x14ac:dyDescent="0.15">
      <c r="F700" s="35"/>
    </row>
    <row r="701" spans="6:6" ht="15.75" customHeight="1" x14ac:dyDescent="0.15">
      <c r="F701" s="35"/>
    </row>
    <row r="702" spans="6:6" ht="15.75" customHeight="1" x14ac:dyDescent="0.15">
      <c r="F702" s="35"/>
    </row>
    <row r="703" spans="6:6" ht="15.75" customHeight="1" x14ac:dyDescent="0.15">
      <c r="F703" s="35"/>
    </row>
    <row r="704" spans="6:6" ht="15.75" customHeight="1" x14ac:dyDescent="0.15">
      <c r="F704" s="35"/>
    </row>
    <row r="705" spans="6:6" ht="15.75" customHeight="1" x14ac:dyDescent="0.15">
      <c r="F705" s="35"/>
    </row>
    <row r="706" spans="6:6" ht="15.75" customHeight="1" x14ac:dyDescent="0.15">
      <c r="F706" s="35"/>
    </row>
    <row r="707" spans="6:6" ht="15.75" customHeight="1" x14ac:dyDescent="0.15">
      <c r="F707" s="35"/>
    </row>
    <row r="708" spans="6:6" ht="15.75" customHeight="1" x14ac:dyDescent="0.15">
      <c r="F708" s="35"/>
    </row>
    <row r="709" spans="6:6" ht="15.75" customHeight="1" x14ac:dyDescent="0.15">
      <c r="F709" s="35"/>
    </row>
    <row r="710" spans="6:6" ht="15.75" customHeight="1" x14ac:dyDescent="0.15">
      <c r="F710" s="35"/>
    </row>
    <row r="711" spans="6:6" ht="15.75" customHeight="1" x14ac:dyDescent="0.15">
      <c r="F711" s="35"/>
    </row>
    <row r="712" spans="6:6" ht="15.75" customHeight="1" x14ac:dyDescent="0.15">
      <c r="F712" s="35"/>
    </row>
    <row r="713" spans="6:6" ht="15.75" customHeight="1" x14ac:dyDescent="0.15">
      <c r="F713" s="35"/>
    </row>
    <row r="714" spans="6:6" ht="15.75" customHeight="1" x14ac:dyDescent="0.15">
      <c r="F714" s="35"/>
    </row>
    <row r="715" spans="6:6" ht="15.75" customHeight="1" x14ac:dyDescent="0.15">
      <c r="F715" s="35"/>
    </row>
    <row r="716" spans="6:6" ht="15.75" customHeight="1" x14ac:dyDescent="0.15">
      <c r="F716" s="35"/>
    </row>
    <row r="717" spans="6:6" ht="15.75" customHeight="1" x14ac:dyDescent="0.15">
      <c r="F717" s="35"/>
    </row>
    <row r="718" spans="6:6" ht="15.75" customHeight="1" x14ac:dyDescent="0.15">
      <c r="F718" s="35"/>
    </row>
    <row r="719" spans="6:6" ht="15.75" customHeight="1" x14ac:dyDescent="0.15">
      <c r="F719" s="35"/>
    </row>
    <row r="720" spans="6:6" ht="15.75" customHeight="1" x14ac:dyDescent="0.15">
      <c r="F720" s="35"/>
    </row>
    <row r="721" spans="6:6" ht="15.75" customHeight="1" x14ac:dyDescent="0.15">
      <c r="F721" s="35"/>
    </row>
    <row r="722" spans="6:6" ht="15.75" customHeight="1" x14ac:dyDescent="0.15">
      <c r="F722" s="35"/>
    </row>
    <row r="723" spans="6:6" ht="15.75" customHeight="1" x14ac:dyDescent="0.15">
      <c r="F723" s="35"/>
    </row>
    <row r="724" spans="6:6" ht="15.75" customHeight="1" x14ac:dyDescent="0.15">
      <c r="F724" s="35"/>
    </row>
    <row r="725" spans="6:6" ht="15.75" customHeight="1" x14ac:dyDescent="0.15">
      <c r="F725" s="35"/>
    </row>
    <row r="726" spans="6:6" ht="15.75" customHeight="1" x14ac:dyDescent="0.15">
      <c r="F726" s="35"/>
    </row>
    <row r="727" spans="6:6" ht="15.75" customHeight="1" x14ac:dyDescent="0.15">
      <c r="F727" s="35"/>
    </row>
    <row r="728" spans="6:6" ht="15.75" customHeight="1" x14ac:dyDescent="0.15">
      <c r="F728" s="35"/>
    </row>
    <row r="729" spans="6:6" ht="15.75" customHeight="1" x14ac:dyDescent="0.15">
      <c r="F729" s="35"/>
    </row>
    <row r="730" spans="6:6" ht="15.75" customHeight="1" x14ac:dyDescent="0.15">
      <c r="F730" s="35"/>
    </row>
    <row r="731" spans="6:6" ht="15.75" customHeight="1" x14ac:dyDescent="0.15">
      <c r="F731" s="35"/>
    </row>
    <row r="732" spans="6:6" ht="15.75" customHeight="1" x14ac:dyDescent="0.15">
      <c r="F732" s="35"/>
    </row>
    <row r="733" spans="6:6" ht="15.75" customHeight="1" x14ac:dyDescent="0.15">
      <c r="F733" s="35"/>
    </row>
    <row r="734" spans="6:6" ht="15.75" customHeight="1" x14ac:dyDescent="0.15">
      <c r="F734" s="35"/>
    </row>
    <row r="735" spans="6:6" ht="15.75" customHeight="1" x14ac:dyDescent="0.15">
      <c r="F735" s="35"/>
    </row>
    <row r="736" spans="6:6" ht="15.75" customHeight="1" x14ac:dyDescent="0.15">
      <c r="F736" s="35"/>
    </row>
    <row r="737" spans="6:6" ht="15.75" customHeight="1" x14ac:dyDescent="0.15">
      <c r="F737" s="35"/>
    </row>
    <row r="738" spans="6:6" ht="15.75" customHeight="1" x14ac:dyDescent="0.15">
      <c r="F738" s="35"/>
    </row>
    <row r="739" spans="6:6" ht="15.75" customHeight="1" x14ac:dyDescent="0.15">
      <c r="F739" s="35"/>
    </row>
    <row r="740" spans="6:6" ht="15.75" customHeight="1" x14ac:dyDescent="0.15">
      <c r="F740" s="35"/>
    </row>
    <row r="741" spans="6:6" ht="15.75" customHeight="1" x14ac:dyDescent="0.15">
      <c r="F741" s="35"/>
    </row>
    <row r="742" spans="6:6" ht="15.75" customHeight="1" x14ac:dyDescent="0.15">
      <c r="F742" s="35"/>
    </row>
    <row r="743" spans="6:6" ht="15.75" customHeight="1" x14ac:dyDescent="0.15">
      <c r="F743" s="35"/>
    </row>
    <row r="744" spans="6:6" ht="15.75" customHeight="1" x14ac:dyDescent="0.15">
      <c r="F744" s="35"/>
    </row>
    <row r="745" spans="6:6" ht="15.75" customHeight="1" x14ac:dyDescent="0.15">
      <c r="F745" s="35"/>
    </row>
    <row r="746" spans="6:6" ht="15.75" customHeight="1" x14ac:dyDescent="0.15">
      <c r="F746" s="35"/>
    </row>
    <row r="747" spans="6:6" ht="15.75" customHeight="1" x14ac:dyDescent="0.15">
      <c r="F747" s="35"/>
    </row>
    <row r="748" spans="6:6" ht="15.75" customHeight="1" x14ac:dyDescent="0.15">
      <c r="F748" s="35"/>
    </row>
    <row r="749" spans="6:6" ht="15.75" customHeight="1" x14ac:dyDescent="0.15">
      <c r="F749" s="35"/>
    </row>
    <row r="750" spans="6:6" ht="15.75" customHeight="1" x14ac:dyDescent="0.15">
      <c r="F750" s="35"/>
    </row>
    <row r="751" spans="6:6" ht="15.75" customHeight="1" x14ac:dyDescent="0.15">
      <c r="F751" s="35"/>
    </row>
    <row r="752" spans="6:6" ht="15.75" customHeight="1" x14ac:dyDescent="0.15">
      <c r="F752" s="35"/>
    </row>
    <row r="753" spans="6:6" ht="15.75" customHeight="1" x14ac:dyDescent="0.15">
      <c r="F753" s="35"/>
    </row>
    <row r="754" spans="6:6" ht="15.75" customHeight="1" x14ac:dyDescent="0.15">
      <c r="F754" s="35"/>
    </row>
    <row r="755" spans="6:6" ht="15.75" customHeight="1" x14ac:dyDescent="0.15">
      <c r="F755" s="35"/>
    </row>
    <row r="756" spans="6:6" ht="15.75" customHeight="1" x14ac:dyDescent="0.15">
      <c r="F756" s="35"/>
    </row>
    <row r="757" spans="6:6" ht="15.75" customHeight="1" x14ac:dyDescent="0.15">
      <c r="F757" s="35"/>
    </row>
    <row r="758" spans="6:6" ht="15.75" customHeight="1" x14ac:dyDescent="0.15">
      <c r="F758" s="35"/>
    </row>
    <row r="759" spans="6:6" ht="15.75" customHeight="1" x14ac:dyDescent="0.15">
      <c r="F759" s="35"/>
    </row>
    <row r="760" spans="6:6" ht="15.75" customHeight="1" x14ac:dyDescent="0.15">
      <c r="F760" s="35"/>
    </row>
    <row r="761" spans="6:6" ht="15.75" customHeight="1" x14ac:dyDescent="0.15">
      <c r="F761" s="35"/>
    </row>
    <row r="762" spans="6:6" ht="15.75" customHeight="1" x14ac:dyDescent="0.15">
      <c r="F762" s="35"/>
    </row>
    <row r="763" spans="6:6" ht="15.75" customHeight="1" x14ac:dyDescent="0.15">
      <c r="F763" s="35"/>
    </row>
    <row r="764" spans="6:6" ht="15.75" customHeight="1" x14ac:dyDescent="0.15">
      <c r="F764" s="35"/>
    </row>
    <row r="765" spans="6:6" ht="15.75" customHeight="1" x14ac:dyDescent="0.15">
      <c r="F765" s="35"/>
    </row>
    <row r="766" spans="6:6" ht="15.75" customHeight="1" x14ac:dyDescent="0.15">
      <c r="F766" s="35"/>
    </row>
    <row r="767" spans="6:6" ht="15.75" customHeight="1" x14ac:dyDescent="0.15">
      <c r="F767" s="35"/>
    </row>
    <row r="768" spans="6:6" ht="15.75" customHeight="1" x14ac:dyDescent="0.15">
      <c r="F768" s="35"/>
    </row>
    <row r="769" spans="6:6" ht="15.75" customHeight="1" x14ac:dyDescent="0.15">
      <c r="F769" s="35"/>
    </row>
    <row r="770" spans="6:6" ht="15.75" customHeight="1" x14ac:dyDescent="0.15">
      <c r="F770" s="35"/>
    </row>
    <row r="771" spans="6:6" ht="15.75" customHeight="1" x14ac:dyDescent="0.15">
      <c r="F771" s="35"/>
    </row>
    <row r="772" spans="6:6" ht="15.75" customHeight="1" x14ac:dyDescent="0.15">
      <c r="F772" s="35"/>
    </row>
    <row r="773" spans="6:6" ht="15.75" customHeight="1" x14ac:dyDescent="0.15">
      <c r="F773" s="35"/>
    </row>
    <row r="774" spans="6:6" ht="15.75" customHeight="1" x14ac:dyDescent="0.15">
      <c r="F774" s="35"/>
    </row>
    <row r="775" spans="6:6" ht="15.75" customHeight="1" x14ac:dyDescent="0.15">
      <c r="F775" s="35"/>
    </row>
    <row r="776" spans="6:6" ht="15.75" customHeight="1" x14ac:dyDescent="0.15">
      <c r="F776" s="35"/>
    </row>
    <row r="777" spans="6:6" ht="15.75" customHeight="1" x14ac:dyDescent="0.15">
      <c r="F777" s="35"/>
    </row>
    <row r="778" spans="6:6" ht="15.75" customHeight="1" x14ac:dyDescent="0.15">
      <c r="F778" s="35"/>
    </row>
    <row r="779" spans="6:6" ht="15.75" customHeight="1" x14ac:dyDescent="0.15">
      <c r="F779" s="35"/>
    </row>
    <row r="780" spans="6:6" ht="15.75" customHeight="1" x14ac:dyDescent="0.15">
      <c r="F780" s="35"/>
    </row>
    <row r="781" spans="6:6" ht="15.75" customHeight="1" x14ac:dyDescent="0.15">
      <c r="F781" s="35"/>
    </row>
    <row r="782" spans="6:6" ht="15.75" customHeight="1" x14ac:dyDescent="0.15">
      <c r="F782" s="35"/>
    </row>
    <row r="783" spans="6:6" ht="15.75" customHeight="1" x14ac:dyDescent="0.15">
      <c r="F783" s="35"/>
    </row>
    <row r="784" spans="6:6" ht="15.75" customHeight="1" x14ac:dyDescent="0.15">
      <c r="F784" s="35"/>
    </row>
    <row r="785" spans="6:6" ht="15.75" customHeight="1" x14ac:dyDescent="0.15">
      <c r="F785" s="35"/>
    </row>
    <row r="786" spans="6:6" ht="15.75" customHeight="1" x14ac:dyDescent="0.15">
      <c r="F786" s="35"/>
    </row>
    <row r="787" spans="6:6" ht="15.75" customHeight="1" x14ac:dyDescent="0.15">
      <c r="F787" s="35"/>
    </row>
    <row r="788" spans="6:6" ht="15.75" customHeight="1" x14ac:dyDescent="0.15">
      <c r="F788" s="35"/>
    </row>
    <row r="789" spans="6:6" ht="15.75" customHeight="1" x14ac:dyDescent="0.15">
      <c r="F789" s="35"/>
    </row>
    <row r="790" spans="6:6" ht="15.75" customHeight="1" x14ac:dyDescent="0.15">
      <c r="F790" s="35"/>
    </row>
    <row r="791" spans="6:6" ht="15.75" customHeight="1" x14ac:dyDescent="0.15">
      <c r="F791" s="35"/>
    </row>
    <row r="792" spans="6:6" ht="15.75" customHeight="1" x14ac:dyDescent="0.15">
      <c r="F792" s="35"/>
    </row>
    <row r="793" spans="6:6" ht="15.75" customHeight="1" x14ac:dyDescent="0.15">
      <c r="F793" s="35"/>
    </row>
    <row r="794" spans="6:6" ht="15.75" customHeight="1" x14ac:dyDescent="0.15">
      <c r="F794" s="35"/>
    </row>
    <row r="795" spans="6:6" ht="15.75" customHeight="1" x14ac:dyDescent="0.15">
      <c r="F795" s="35"/>
    </row>
    <row r="796" spans="6:6" ht="15.75" customHeight="1" x14ac:dyDescent="0.15">
      <c r="F796" s="35"/>
    </row>
    <row r="797" spans="6:6" ht="15.75" customHeight="1" x14ac:dyDescent="0.15">
      <c r="F797" s="35"/>
    </row>
    <row r="798" spans="6:6" ht="15.75" customHeight="1" x14ac:dyDescent="0.15">
      <c r="F798" s="35"/>
    </row>
    <row r="799" spans="6:6" ht="15.75" customHeight="1" x14ac:dyDescent="0.15">
      <c r="F799" s="35"/>
    </row>
    <row r="800" spans="6:6" ht="15.75" customHeight="1" x14ac:dyDescent="0.15">
      <c r="F800" s="35"/>
    </row>
    <row r="801" spans="6:6" ht="15.75" customHeight="1" x14ac:dyDescent="0.15">
      <c r="F801" s="35"/>
    </row>
    <row r="802" spans="6:6" ht="15.75" customHeight="1" x14ac:dyDescent="0.15">
      <c r="F802" s="35"/>
    </row>
    <row r="803" spans="6:6" ht="15.75" customHeight="1" x14ac:dyDescent="0.15">
      <c r="F803" s="35"/>
    </row>
    <row r="804" spans="6:6" ht="15.75" customHeight="1" x14ac:dyDescent="0.15">
      <c r="F804" s="35"/>
    </row>
    <row r="805" spans="6:6" ht="15.75" customHeight="1" x14ac:dyDescent="0.15">
      <c r="F805" s="35"/>
    </row>
    <row r="806" spans="6:6" ht="15.75" customHeight="1" x14ac:dyDescent="0.15">
      <c r="F806" s="35"/>
    </row>
    <row r="807" spans="6:6" ht="15.75" customHeight="1" x14ac:dyDescent="0.15">
      <c r="F807" s="35"/>
    </row>
    <row r="808" spans="6:6" ht="15.75" customHeight="1" x14ac:dyDescent="0.15">
      <c r="F808" s="35"/>
    </row>
    <row r="809" spans="6:6" ht="15.75" customHeight="1" x14ac:dyDescent="0.15">
      <c r="F809" s="35"/>
    </row>
    <row r="810" spans="6:6" ht="15.75" customHeight="1" x14ac:dyDescent="0.15">
      <c r="F810" s="35"/>
    </row>
    <row r="811" spans="6:6" ht="15.75" customHeight="1" x14ac:dyDescent="0.15">
      <c r="F811" s="35"/>
    </row>
    <row r="812" spans="6:6" ht="15.75" customHeight="1" x14ac:dyDescent="0.15">
      <c r="F812" s="35"/>
    </row>
    <row r="813" spans="6:6" ht="15.75" customHeight="1" x14ac:dyDescent="0.15">
      <c r="F813" s="35"/>
    </row>
    <row r="814" spans="6:6" ht="15.75" customHeight="1" x14ac:dyDescent="0.15">
      <c r="F814" s="35"/>
    </row>
    <row r="815" spans="6:6" ht="15.75" customHeight="1" x14ac:dyDescent="0.15">
      <c r="F815" s="35"/>
    </row>
    <row r="816" spans="6:6" ht="15.75" customHeight="1" x14ac:dyDescent="0.15">
      <c r="F816" s="35"/>
    </row>
    <row r="817" spans="6:6" ht="15.75" customHeight="1" x14ac:dyDescent="0.15">
      <c r="F817" s="35"/>
    </row>
    <row r="818" spans="6:6" ht="15.75" customHeight="1" x14ac:dyDescent="0.15">
      <c r="F818" s="35"/>
    </row>
    <row r="819" spans="6:6" ht="15.75" customHeight="1" x14ac:dyDescent="0.15">
      <c r="F819" s="35"/>
    </row>
    <row r="820" spans="6:6" ht="15.75" customHeight="1" x14ac:dyDescent="0.15">
      <c r="F820" s="35"/>
    </row>
    <row r="821" spans="6:6" ht="15.75" customHeight="1" x14ac:dyDescent="0.15">
      <c r="F821" s="35"/>
    </row>
    <row r="822" spans="6:6" ht="15.75" customHeight="1" x14ac:dyDescent="0.15">
      <c r="F822" s="35"/>
    </row>
    <row r="823" spans="6:6" ht="15.75" customHeight="1" x14ac:dyDescent="0.15">
      <c r="F823" s="35"/>
    </row>
    <row r="824" spans="6:6" ht="15.75" customHeight="1" x14ac:dyDescent="0.15">
      <c r="F824" s="35"/>
    </row>
    <row r="825" spans="6:6" ht="15.75" customHeight="1" x14ac:dyDescent="0.15">
      <c r="F825" s="35"/>
    </row>
    <row r="826" spans="6:6" ht="15.75" customHeight="1" x14ac:dyDescent="0.15">
      <c r="F826" s="35"/>
    </row>
    <row r="827" spans="6:6" ht="15.75" customHeight="1" x14ac:dyDescent="0.15">
      <c r="F827" s="35"/>
    </row>
    <row r="828" spans="6:6" ht="15.75" customHeight="1" x14ac:dyDescent="0.15">
      <c r="F828" s="35"/>
    </row>
    <row r="829" spans="6:6" ht="15.75" customHeight="1" x14ac:dyDescent="0.15">
      <c r="F829" s="35"/>
    </row>
    <row r="830" spans="6:6" ht="15.75" customHeight="1" x14ac:dyDescent="0.15">
      <c r="F830" s="35"/>
    </row>
    <row r="831" spans="6:6" ht="15.75" customHeight="1" x14ac:dyDescent="0.15">
      <c r="F831" s="35"/>
    </row>
    <row r="832" spans="6:6" ht="15.75" customHeight="1" x14ac:dyDescent="0.15">
      <c r="F832" s="35"/>
    </row>
    <row r="833" spans="6:6" ht="15.75" customHeight="1" x14ac:dyDescent="0.15">
      <c r="F833" s="35"/>
    </row>
    <row r="834" spans="6:6" ht="15.75" customHeight="1" x14ac:dyDescent="0.15">
      <c r="F834" s="35"/>
    </row>
    <row r="835" spans="6:6" ht="15.75" customHeight="1" x14ac:dyDescent="0.15">
      <c r="F835" s="35"/>
    </row>
    <row r="836" spans="6:6" ht="15.75" customHeight="1" x14ac:dyDescent="0.15">
      <c r="F836" s="35"/>
    </row>
    <row r="837" spans="6:6" ht="15.75" customHeight="1" x14ac:dyDescent="0.15">
      <c r="F837" s="35"/>
    </row>
    <row r="838" spans="6:6" ht="15.75" customHeight="1" x14ac:dyDescent="0.15">
      <c r="F838" s="35"/>
    </row>
    <row r="839" spans="6:6" ht="15.75" customHeight="1" x14ac:dyDescent="0.15">
      <c r="F839" s="35"/>
    </row>
    <row r="840" spans="6:6" ht="15.75" customHeight="1" x14ac:dyDescent="0.15">
      <c r="F840" s="35"/>
    </row>
    <row r="841" spans="6:6" ht="15.75" customHeight="1" x14ac:dyDescent="0.15">
      <c r="F841" s="35"/>
    </row>
    <row r="842" spans="6:6" ht="15.75" customHeight="1" x14ac:dyDescent="0.15">
      <c r="F842" s="35"/>
    </row>
    <row r="843" spans="6:6" ht="15.75" customHeight="1" x14ac:dyDescent="0.15">
      <c r="F843" s="35"/>
    </row>
    <row r="844" spans="6:6" ht="15.75" customHeight="1" x14ac:dyDescent="0.15">
      <c r="F844" s="35"/>
    </row>
    <row r="845" spans="6:6" ht="15.75" customHeight="1" x14ac:dyDescent="0.15">
      <c r="F845" s="35"/>
    </row>
    <row r="846" spans="6:6" ht="15.75" customHeight="1" x14ac:dyDescent="0.15">
      <c r="F846" s="35"/>
    </row>
    <row r="847" spans="6:6" ht="15.75" customHeight="1" x14ac:dyDescent="0.15">
      <c r="F847" s="35"/>
    </row>
    <row r="848" spans="6:6" ht="15.75" customHeight="1" x14ac:dyDescent="0.15">
      <c r="F848" s="35"/>
    </row>
    <row r="849" spans="6:6" ht="15.75" customHeight="1" x14ac:dyDescent="0.15">
      <c r="F849" s="35"/>
    </row>
    <row r="850" spans="6:6" ht="15.75" customHeight="1" x14ac:dyDescent="0.15">
      <c r="F850" s="35"/>
    </row>
    <row r="851" spans="6:6" ht="15.75" customHeight="1" x14ac:dyDescent="0.15">
      <c r="F851" s="35"/>
    </row>
    <row r="852" spans="6:6" ht="15.75" customHeight="1" x14ac:dyDescent="0.15">
      <c r="F852" s="35"/>
    </row>
    <row r="853" spans="6:6" ht="15.75" customHeight="1" x14ac:dyDescent="0.15">
      <c r="F853" s="35"/>
    </row>
    <row r="854" spans="6:6" ht="15.75" customHeight="1" x14ac:dyDescent="0.15">
      <c r="F854" s="35"/>
    </row>
    <row r="855" spans="6:6" ht="15.75" customHeight="1" x14ac:dyDescent="0.15">
      <c r="F855" s="35"/>
    </row>
    <row r="856" spans="6:6" ht="15.75" customHeight="1" x14ac:dyDescent="0.15">
      <c r="F856" s="35"/>
    </row>
    <row r="857" spans="6:6" ht="15.75" customHeight="1" x14ac:dyDescent="0.15">
      <c r="F857" s="35"/>
    </row>
    <row r="858" spans="6:6" ht="15.75" customHeight="1" x14ac:dyDescent="0.15">
      <c r="F858" s="35"/>
    </row>
    <row r="859" spans="6:6" ht="15.75" customHeight="1" x14ac:dyDescent="0.15">
      <c r="F859" s="35"/>
    </row>
    <row r="860" spans="6:6" ht="15.75" customHeight="1" x14ac:dyDescent="0.15">
      <c r="F860" s="35"/>
    </row>
    <row r="861" spans="6:6" ht="15.75" customHeight="1" x14ac:dyDescent="0.15">
      <c r="F861" s="35"/>
    </row>
    <row r="862" spans="6:6" ht="15.75" customHeight="1" x14ac:dyDescent="0.15">
      <c r="F862" s="35"/>
    </row>
    <row r="863" spans="6:6" ht="15.75" customHeight="1" x14ac:dyDescent="0.15">
      <c r="F863" s="35"/>
    </row>
    <row r="864" spans="6:6" ht="15.75" customHeight="1" x14ac:dyDescent="0.15">
      <c r="F864" s="35"/>
    </row>
    <row r="865" spans="6:6" ht="15.75" customHeight="1" x14ac:dyDescent="0.15">
      <c r="F865" s="35"/>
    </row>
    <row r="866" spans="6:6" ht="15.75" customHeight="1" x14ac:dyDescent="0.15">
      <c r="F866" s="35"/>
    </row>
    <row r="867" spans="6:6" ht="15.75" customHeight="1" x14ac:dyDescent="0.15">
      <c r="F867" s="35"/>
    </row>
    <row r="868" spans="6:6" ht="15.75" customHeight="1" x14ac:dyDescent="0.15">
      <c r="F868" s="35"/>
    </row>
    <row r="869" spans="6:6" ht="15.75" customHeight="1" x14ac:dyDescent="0.15">
      <c r="F869" s="35"/>
    </row>
    <row r="870" spans="6:6" ht="15.75" customHeight="1" x14ac:dyDescent="0.15">
      <c r="F870" s="35"/>
    </row>
    <row r="871" spans="6:6" ht="15.75" customHeight="1" x14ac:dyDescent="0.15">
      <c r="F871" s="35"/>
    </row>
    <row r="872" spans="6:6" ht="15.75" customHeight="1" x14ac:dyDescent="0.15">
      <c r="F872" s="35"/>
    </row>
    <row r="873" spans="6:6" ht="15.75" customHeight="1" x14ac:dyDescent="0.15">
      <c r="F873" s="35"/>
    </row>
    <row r="874" spans="6:6" ht="15.75" customHeight="1" x14ac:dyDescent="0.15">
      <c r="F874" s="35"/>
    </row>
    <row r="875" spans="6:6" ht="15.75" customHeight="1" x14ac:dyDescent="0.15">
      <c r="F875" s="35"/>
    </row>
    <row r="876" spans="6:6" ht="15.75" customHeight="1" x14ac:dyDescent="0.15">
      <c r="F876" s="35"/>
    </row>
    <row r="877" spans="6:6" ht="15.75" customHeight="1" x14ac:dyDescent="0.15">
      <c r="F877" s="35"/>
    </row>
    <row r="878" spans="6:6" ht="15.75" customHeight="1" x14ac:dyDescent="0.15">
      <c r="F878" s="35"/>
    </row>
    <row r="879" spans="6:6" ht="15.75" customHeight="1" x14ac:dyDescent="0.15">
      <c r="F879" s="35"/>
    </row>
    <row r="880" spans="6:6" ht="15.75" customHeight="1" x14ac:dyDescent="0.15">
      <c r="F880" s="35"/>
    </row>
    <row r="881" spans="6:6" ht="15.75" customHeight="1" x14ac:dyDescent="0.15">
      <c r="F881" s="35"/>
    </row>
    <row r="882" spans="6:6" ht="15.75" customHeight="1" x14ac:dyDescent="0.15">
      <c r="F882" s="35"/>
    </row>
    <row r="883" spans="6:6" ht="15.75" customHeight="1" x14ac:dyDescent="0.15">
      <c r="F883" s="35"/>
    </row>
    <row r="884" spans="6:6" ht="15.75" customHeight="1" x14ac:dyDescent="0.15">
      <c r="F884" s="35"/>
    </row>
    <row r="885" spans="6:6" ht="15.75" customHeight="1" x14ac:dyDescent="0.15">
      <c r="F885" s="35"/>
    </row>
    <row r="886" spans="6:6" ht="15.75" customHeight="1" x14ac:dyDescent="0.15">
      <c r="F886" s="35"/>
    </row>
    <row r="887" spans="6:6" ht="15.75" customHeight="1" x14ac:dyDescent="0.15">
      <c r="F887" s="35"/>
    </row>
    <row r="888" spans="6:6" ht="15.75" customHeight="1" x14ac:dyDescent="0.15">
      <c r="F888" s="35"/>
    </row>
    <row r="889" spans="6:6" ht="15.75" customHeight="1" x14ac:dyDescent="0.15">
      <c r="F889" s="35"/>
    </row>
    <row r="890" spans="6:6" ht="15.75" customHeight="1" x14ac:dyDescent="0.15">
      <c r="F890" s="35"/>
    </row>
    <row r="891" spans="6:6" ht="15.75" customHeight="1" x14ac:dyDescent="0.15">
      <c r="F891" s="35"/>
    </row>
    <row r="892" spans="6:6" ht="15.75" customHeight="1" x14ac:dyDescent="0.15">
      <c r="F892" s="35"/>
    </row>
    <row r="893" spans="6:6" ht="15.75" customHeight="1" x14ac:dyDescent="0.15">
      <c r="F893" s="35"/>
    </row>
    <row r="894" spans="6:6" ht="15.75" customHeight="1" x14ac:dyDescent="0.15">
      <c r="F894" s="35"/>
    </row>
    <row r="895" spans="6:6" ht="15.75" customHeight="1" x14ac:dyDescent="0.15">
      <c r="F895" s="35"/>
    </row>
    <row r="896" spans="6:6" ht="15.75" customHeight="1" x14ac:dyDescent="0.15">
      <c r="F896" s="35"/>
    </row>
    <row r="897" spans="6:6" ht="15.75" customHeight="1" x14ac:dyDescent="0.15">
      <c r="F897" s="35"/>
    </row>
    <row r="898" spans="6:6" ht="15.75" customHeight="1" x14ac:dyDescent="0.15">
      <c r="F898" s="35"/>
    </row>
    <row r="899" spans="6:6" ht="15.75" customHeight="1" x14ac:dyDescent="0.15">
      <c r="F899" s="35"/>
    </row>
    <row r="900" spans="6:6" ht="15.75" customHeight="1" x14ac:dyDescent="0.15">
      <c r="F900" s="35"/>
    </row>
    <row r="901" spans="6:6" ht="15.75" customHeight="1" x14ac:dyDescent="0.15">
      <c r="F901" s="35"/>
    </row>
    <row r="902" spans="6:6" ht="15.75" customHeight="1" x14ac:dyDescent="0.15">
      <c r="F902" s="35"/>
    </row>
    <row r="903" spans="6:6" ht="15.75" customHeight="1" x14ac:dyDescent="0.15">
      <c r="F903" s="35"/>
    </row>
    <row r="904" spans="6:6" ht="15.75" customHeight="1" x14ac:dyDescent="0.15">
      <c r="F904" s="35"/>
    </row>
    <row r="905" spans="6:6" ht="15.75" customHeight="1" x14ac:dyDescent="0.15">
      <c r="F905" s="35"/>
    </row>
    <row r="906" spans="6:6" ht="15.75" customHeight="1" x14ac:dyDescent="0.15">
      <c r="F906" s="35"/>
    </row>
    <row r="907" spans="6:6" ht="15.75" customHeight="1" x14ac:dyDescent="0.15">
      <c r="F907" s="35"/>
    </row>
    <row r="908" spans="6:6" ht="15.75" customHeight="1" x14ac:dyDescent="0.15">
      <c r="F908" s="35"/>
    </row>
    <row r="909" spans="6:6" ht="15.75" customHeight="1" x14ac:dyDescent="0.15">
      <c r="F909" s="35"/>
    </row>
    <row r="910" spans="6:6" ht="15.75" customHeight="1" x14ac:dyDescent="0.15">
      <c r="F910" s="35"/>
    </row>
    <row r="911" spans="6:6" ht="15.75" customHeight="1" x14ac:dyDescent="0.15">
      <c r="F911" s="35"/>
    </row>
    <row r="912" spans="6:6" ht="15.75" customHeight="1" x14ac:dyDescent="0.15">
      <c r="F912" s="35"/>
    </row>
    <row r="913" spans="6:6" ht="15.75" customHeight="1" x14ac:dyDescent="0.15">
      <c r="F913" s="35"/>
    </row>
    <row r="914" spans="6:6" ht="15.75" customHeight="1" x14ac:dyDescent="0.15">
      <c r="F914" s="35"/>
    </row>
    <row r="915" spans="6:6" ht="15.75" customHeight="1" x14ac:dyDescent="0.15">
      <c r="F915" s="35"/>
    </row>
    <row r="916" spans="6:6" ht="15.75" customHeight="1" x14ac:dyDescent="0.15">
      <c r="F916" s="35"/>
    </row>
    <row r="917" spans="6:6" ht="15.75" customHeight="1" x14ac:dyDescent="0.15">
      <c r="F917" s="35"/>
    </row>
    <row r="918" spans="6:6" ht="15.75" customHeight="1" x14ac:dyDescent="0.15">
      <c r="F918" s="35"/>
    </row>
    <row r="919" spans="6:6" ht="15.75" customHeight="1" x14ac:dyDescent="0.15">
      <c r="F919" s="35"/>
    </row>
    <row r="920" spans="6:6" ht="15.75" customHeight="1" x14ac:dyDescent="0.15">
      <c r="F920" s="35"/>
    </row>
    <row r="921" spans="6:6" ht="15.75" customHeight="1" x14ac:dyDescent="0.15">
      <c r="F921" s="35"/>
    </row>
    <row r="922" spans="6:6" ht="15.75" customHeight="1" x14ac:dyDescent="0.15">
      <c r="F922" s="35"/>
    </row>
    <row r="923" spans="6:6" ht="15.75" customHeight="1" x14ac:dyDescent="0.15">
      <c r="F923" s="35"/>
    </row>
    <row r="924" spans="6:6" ht="15.75" customHeight="1" x14ac:dyDescent="0.15">
      <c r="F924" s="35"/>
    </row>
    <row r="925" spans="6:6" ht="15.75" customHeight="1" x14ac:dyDescent="0.15">
      <c r="F925" s="35"/>
    </row>
    <row r="926" spans="6:6" ht="15.75" customHeight="1" x14ac:dyDescent="0.15">
      <c r="F926" s="35"/>
    </row>
    <row r="927" spans="6:6" ht="15.75" customHeight="1" x14ac:dyDescent="0.15">
      <c r="F927" s="35"/>
    </row>
    <row r="928" spans="6:6" ht="15.75" customHeight="1" x14ac:dyDescent="0.15">
      <c r="F928" s="35"/>
    </row>
    <row r="929" spans="6:6" ht="15.75" customHeight="1" x14ac:dyDescent="0.15">
      <c r="F929" s="35"/>
    </row>
    <row r="930" spans="6:6" ht="15.75" customHeight="1" x14ac:dyDescent="0.15">
      <c r="F930" s="35"/>
    </row>
    <row r="931" spans="6:6" ht="15.75" customHeight="1" x14ac:dyDescent="0.15">
      <c r="F931" s="35"/>
    </row>
    <row r="932" spans="6:6" ht="15.75" customHeight="1" x14ac:dyDescent="0.15">
      <c r="F932" s="35"/>
    </row>
    <row r="933" spans="6:6" ht="15.75" customHeight="1" x14ac:dyDescent="0.15">
      <c r="F933" s="35"/>
    </row>
    <row r="934" spans="6:6" ht="15.75" customHeight="1" x14ac:dyDescent="0.15">
      <c r="F934" s="35"/>
    </row>
    <row r="935" spans="6:6" ht="15.75" customHeight="1" x14ac:dyDescent="0.15">
      <c r="F935" s="35"/>
    </row>
    <row r="936" spans="6:6" ht="15.75" customHeight="1" x14ac:dyDescent="0.15">
      <c r="F936" s="35"/>
    </row>
    <row r="937" spans="6:6" ht="15.75" customHeight="1" x14ac:dyDescent="0.15">
      <c r="F937" s="35"/>
    </row>
    <row r="938" spans="6:6" ht="15.75" customHeight="1" x14ac:dyDescent="0.15">
      <c r="F938" s="35"/>
    </row>
    <row r="939" spans="6:6" ht="15.75" customHeight="1" x14ac:dyDescent="0.15">
      <c r="F939" s="35"/>
    </row>
    <row r="940" spans="6:6" ht="15.75" customHeight="1" x14ac:dyDescent="0.15">
      <c r="F940" s="35"/>
    </row>
    <row r="941" spans="6:6" ht="15.75" customHeight="1" x14ac:dyDescent="0.15">
      <c r="F941" s="35"/>
    </row>
    <row r="942" spans="6:6" ht="15.75" customHeight="1" x14ac:dyDescent="0.15">
      <c r="F942" s="35"/>
    </row>
    <row r="943" spans="6:6" ht="15.75" customHeight="1" x14ac:dyDescent="0.15">
      <c r="F943" s="35"/>
    </row>
    <row r="944" spans="6:6" ht="15.75" customHeight="1" x14ac:dyDescent="0.15">
      <c r="F944" s="35"/>
    </row>
    <row r="945" spans="6:6" ht="15.75" customHeight="1" x14ac:dyDescent="0.15">
      <c r="F945" s="35"/>
    </row>
    <row r="946" spans="6:6" ht="15.75" customHeight="1" x14ac:dyDescent="0.15">
      <c r="F946" s="35"/>
    </row>
    <row r="947" spans="6:6" ht="15.75" customHeight="1" x14ac:dyDescent="0.15">
      <c r="F947" s="35"/>
    </row>
    <row r="948" spans="6:6" ht="15.75" customHeight="1" x14ac:dyDescent="0.15">
      <c r="F948" s="35"/>
    </row>
    <row r="949" spans="6:6" ht="15.75" customHeight="1" x14ac:dyDescent="0.15">
      <c r="F949" s="35"/>
    </row>
    <row r="950" spans="6:6" ht="15.75" customHeight="1" x14ac:dyDescent="0.15">
      <c r="F950" s="35"/>
    </row>
    <row r="951" spans="6:6" ht="15.75" customHeight="1" x14ac:dyDescent="0.15">
      <c r="F951" s="35"/>
    </row>
    <row r="952" spans="6:6" ht="15.75" customHeight="1" x14ac:dyDescent="0.15">
      <c r="F952" s="35"/>
    </row>
    <row r="953" spans="6:6" ht="15.75" customHeight="1" x14ac:dyDescent="0.15">
      <c r="F953" s="35"/>
    </row>
    <row r="954" spans="6:6" ht="15.75" customHeight="1" x14ac:dyDescent="0.15">
      <c r="F954" s="35"/>
    </row>
    <row r="955" spans="6:6" ht="15.75" customHeight="1" x14ac:dyDescent="0.15">
      <c r="F955" s="35"/>
    </row>
    <row r="956" spans="6:6" ht="15.75" customHeight="1" x14ac:dyDescent="0.15">
      <c r="F956" s="35"/>
    </row>
    <row r="957" spans="6:6" ht="15.75" customHeight="1" x14ac:dyDescent="0.15">
      <c r="F957" s="35"/>
    </row>
    <row r="958" spans="6:6" ht="15.75" customHeight="1" x14ac:dyDescent="0.15">
      <c r="F958" s="35"/>
    </row>
    <row r="959" spans="6:6" ht="15.75" customHeight="1" x14ac:dyDescent="0.15">
      <c r="F959" s="35"/>
    </row>
    <row r="960" spans="6:6" ht="15.75" customHeight="1" x14ac:dyDescent="0.15">
      <c r="F960" s="35"/>
    </row>
    <row r="961" spans="6:6" ht="15.75" customHeight="1" x14ac:dyDescent="0.15">
      <c r="F961" s="35"/>
    </row>
    <row r="962" spans="6:6" ht="15.75" customHeight="1" x14ac:dyDescent="0.15">
      <c r="F962" s="35"/>
    </row>
    <row r="963" spans="6:6" ht="15.75" customHeight="1" x14ac:dyDescent="0.15">
      <c r="F963" s="35"/>
    </row>
    <row r="964" spans="6:6" ht="15.75" customHeight="1" x14ac:dyDescent="0.15">
      <c r="F964" s="35"/>
    </row>
    <row r="965" spans="6:6" ht="15.75" customHeight="1" x14ac:dyDescent="0.15">
      <c r="F965" s="35"/>
    </row>
    <row r="966" spans="6:6" ht="15.75" customHeight="1" x14ac:dyDescent="0.15">
      <c r="F966" s="35"/>
    </row>
    <row r="967" spans="6:6" ht="15.75" customHeight="1" x14ac:dyDescent="0.15">
      <c r="F967" s="35"/>
    </row>
    <row r="968" spans="6:6" ht="15.75" customHeight="1" x14ac:dyDescent="0.15">
      <c r="F968" s="35"/>
    </row>
    <row r="969" spans="6:6" ht="15.75" customHeight="1" x14ac:dyDescent="0.15">
      <c r="F969" s="35"/>
    </row>
    <row r="970" spans="6:6" ht="15.75" customHeight="1" x14ac:dyDescent="0.15">
      <c r="F970" s="35"/>
    </row>
    <row r="971" spans="6:6" ht="15.75" customHeight="1" x14ac:dyDescent="0.15">
      <c r="F971" s="35"/>
    </row>
    <row r="972" spans="6:6" ht="15.75" customHeight="1" x14ac:dyDescent="0.15">
      <c r="F972" s="35"/>
    </row>
    <row r="973" spans="6:6" ht="15.75" customHeight="1" x14ac:dyDescent="0.15">
      <c r="F973" s="35"/>
    </row>
    <row r="974" spans="6:6" ht="15.75" customHeight="1" x14ac:dyDescent="0.15">
      <c r="F974" s="35"/>
    </row>
    <row r="975" spans="6:6" ht="15.75" customHeight="1" x14ac:dyDescent="0.15">
      <c r="F975" s="35"/>
    </row>
    <row r="976" spans="6:6" ht="15.75" customHeight="1" x14ac:dyDescent="0.15">
      <c r="F976" s="35"/>
    </row>
    <row r="977" spans="6:6" ht="15.75" customHeight="1" x14ac:dyDescent="0.15">
      <c r="F977" s="35"/>
    </row>
    <row r="978" spans="6:6" ht="15.75" customHeight="1" x14ac:dyDescent="0.15">
      <c r="F978" s="35"/>
    </row>
    <row r="979" spans="6:6" ht="15.75" customHeight="1" x14ac:dyDescent="0.15">
      <c r="F979" s="35"/>
    </row>
    <row r="980" spans="6:6" ht="15.75" customHeight="1" x14ac:dyDescent="0.15">
      <c r="F980" s="35"/>
    </row>
    <row r="981" spans="6:6" ht="15.75" customHeight="1" x14ac:dyDescent="0.15">
      <c r="F981" s="35"/>
    </row>
    <row r="982" spans="6:6" ht="15.75" customHeight="1" x14ac:dyDescent="0.15">
      <c r="F982" s="35"/>
    </row>
    <row r="983" spans="6:6" ht="15.75" customHeight="1" x14ac:dyDescent="0.15">
      <c r="F983" s="35"/>
    </row>
    <row r="984" spans="6:6" ht="15.75" customHeight="1" x14ac:dyDescent="0.15">
      <c r="F984" s="35"/>
    </row>
    <row r="985" spans="6:6" ht="15.75" customHeight="1" x14ac:dyDescent="0.15">
      <c r="F985" s="35"/>
    </row>
    <row r="986" spans="6:6" ht="15.75" customHeight="1" x14ac:dyDescent="0.15">
      <c r="F986" s="35"/>
    </row>
    <row r="987" spans="6:6" ht="15.75" customHeight="1" x14ac:dyDescent="0.15">
      <c r="F987" s="35"/>
    </row>
    <row r="988" spans="6:6" ht="15.75" customHeight="1" x14ac:dyDescent="0.15">
      <c r="F988" s="35"/>
    </row>
    <row r="989" spans="6:6" ht="15.75" customHeight="1" x14ac:dyDescent="0.15">
      <c r="F989" s="35"/>
    </row>
    <row r="990" spans="6:6" ht="15.75" customHeight="1" x14ac:dyDescent="0.15">
      <c r="F990" s="35"/>
    </row>
    <row r="991" spans="6:6" ht="15.75" customHeight="1" x14ac:dyDescent="0.15">
      <c r="F991" s="35"/>
    </row>
    <row r="992" spans="6:6" ht="15.75" customHeight="1" x14ac:dyDescent="0.15">
      <c r="F992" s="35"/>
    </row>
    <row r="993" spans="6:6" ht="15.75" customHeight="1" x14ac:dyDescent="0.15">
      <c r="F993" s="35"/>
    </row>
    <row r="994" spans="6:6" ht="15.75" customHeight="1" x14ac:dyDescent="0.15">
      <c r="F994" s="35"/>
    </row>
    <row r="995" spans="6:6" ht="15.75" customHeight="1" x14ac:dyDescent="0.15">
      <c r="F995" s="35"/>
    </row>
    <row r="996" spans="6:6" ht="15.75" customHeight="1" x14ac:dyDescent="0.15">
      <c r="F996" s="35"/>
    </row>
    <row r="997" spans="6:6" ht="15.75" customHeight="1" x14ac:dyDescent="0.15">
      <c r="F997" s="35"/>
    </row>
    <row r="998" spans="6:6" ht="15.75" customHeight="1" x14ac:dyDescent="0.15">
      <c r="F998" s="35"/>
    </row>
    <row r="999" spans="6:6" ht="15.75" customHeight="1" x14ac:dyDescent="0.15">
      <c r="F999" s="35"/>
    </row>
    <row r="1000" spans="6:6" ht="15.75" customHeight="1" x14ac:dyDescent="0.15">
      <c r="F1000" s="35"/>
    </row>
  </sheetData>
  <dataValidations count="2">
    <dataValidation type="list" allowBlank="1" showErrorMessage="1" sqref="H22" xr:uid="{00000000-0002-0000-0600-000000000000}">
      <formula1>$D$2:$D$7</formula1>
    </dataValidation>
    <dataValidation type="list" allowBlank="1" showErrorMessage="1" sqref="I2 H19" xr:uid="{00000000-0002-0000-0600-000001000000}">
      <formula1>$A$2:$A$7</formula1>
    </dataValidation>
  </dataValidation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/>
  </sheetViews>
  <sheetFormatPr defaultColWidth="12.625" defaultRowHeight="15" customHeight="1" x14ac:dyDescent="0.15"/>
  <cols>
    <col min="1" max="3" width="13.1171875" customWidth="1"/>
    <col min="4" max="5" width="11.5234375" customWidth="1"/>
    <col min="6" max="6" width="10.54296875" customWidth="1"/>
  </cols>
  <sheetData>
    <row r="1" spans="1:2" ht="14.25" customHeight="1" x14ac:dyDescent="0.15">
      <c r="A1" s="43"/>
      <c r="B1" s="43" t="s">
        <v>109</v>
      </c>
    </row>
    <row r="2" spans="1:2" ht="14.25" customHeight="1" x14ac:dyDescent="0.15"/>
    <row r="3" spans="1:2" ht="14.25" customHeight="1" x14ac:dyDescent="0.15"/>
    <row r="4" spans="1:2" ht="14.25" customHeight="1" x14ac:dyDescent="0.15"/>
    <row r="5" spans="1:2" ht="14.25" customHeight="1" x14ac:dyDescent="0.15"/>
    <row r="6" spans="1:2" ht="14.25" customHeight="1" x14ac:dyDescent="0.15"/>
    <row r="7" spans="1:2" ht="14.25" customHeight="1" x14ac:dyDescent="0.15"/>
    <row r="8" spans="1:2" ht="14.25" customHeight="1" x14ac:dyDescent="0.15"/>
    <row r="9" spans="1:2" ht="14.25" customHeight="1" x14ac:dyDescent="0.15"/>
    <row r="10" spans="1:2" ht="14.25" customHeight="1" x14ac:dyDescent="0.15"/>
    <row r="11" spans="1:2" ht="14.25" customHeight="1" x14ac:dyDescent="0.15"/>
    <row r="12" spans="1:2" ht="14.25" customHeight="1" x14ac:dyDescent="0.15"/>
    <row r="13" spans="1:2" ht="14.25" customHeight="1" x14ac:dyDescent="0.15"/>
    <row r="14" spans="1:2" ht="14.25" customHeight="1" x14ac:dyDescent="0.15">
      <c r="A14" s="44"/>
      <c r="B14" s="24"/>
    </row>
    <row r="15" spans="1:2" ht="14.25" customHeight="1" x14ac:dyDescent="0.15"/>
    <row r="16" spans="1:2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R1000"/>
  <sheetViews>
    <sheetView workbookViewId="0"/>
  </sheetViews>
  <sheetFormatPr defaultColWidth="12.625" defaultRowHeight="15" customHeight="1" x14ac:dyDescent="0.15"/>
  <cols>
    <col min="1" max="1" width="26.84765625" customWidth="1"/>
    <col min="2" max="2" width="16.546875" customWidth="1"/>
    <col min="3" max="3" width="9.4375" customWidth="1"/>
    <col min="4" max="4" width="11.5234375" customWidth="1"/>
    <col min="5" max="5" width="8.82421875" customWidth="1"/>
    <col min="6" max="6" width="12.9921875" customWidth="1"/>
    <col min="7" max="7" width="14.46484375" customWidth="1"/>
    <col min="8" max="8" width="8.3359375" customWidth="1"/>
    <col min="9" max="9" width="9.19140625" customWidth="1"/>
    <col min="10" max="10" width="8.578125" customWidth="1"/>
    <col min="11" max="11" width="10.296875" customWidth="1"/>
    <col min="12" max="12" width="4.41015625" customWidth="1"/>
    <col min="13" max="13" width="10.171875" customWidth="1"/>
    <col min="14" max="14" width="8.578125" customWidth="1"/>
    <col min="15" max="15" width="14.953125" customWidth="1"/>
    <col min="16" max="16" width="14.33984375" customWidth="1"/>
    <col min="17" max="17" width="17.8984375" customWidth="1"/>
    <col min="18" max="18" width="8.578125" customWidth="1"/>
  </cols>
  <sheetData>
    <row r="1" spans="1:18" ht="14.25" customHeight="1" x14ac:dyDescent="0.15">
      <c r="J1" s="25"/>
      <c r="K1" s="25" t="s">
        <v>110</v>
      </c>
      <c r="L1" s="25" t="s">
        <v>111</v>
      </c>
      <c r="M1" s="25" t="s">
        <v>112</v>
      </c>
      <c r="N1" s="25" t="s">
        <v>113</v>
      </c>
      <c r="O1" s="25" t="s">
        <v>114</v>
      </c>
      <c r="P1" s="25"/>
      <c r="Q1" s="25"/>
      <c r="R1" s="25"/>
    </row>
    <row r="2" spans="1:18" ht="14.25" customHeight="1" x14ac:dyDescent="0.15">
      <c r="A2" s="45" t="s">
        <v>7</v>
      </c>
      <c r="B2" s="46" t="s">
        <v>8</v>
      </c>
      <c r="C2" s="46" t="s">
        <v>9</v>
      </c>
      <c r="D2" s="46" t="s">
        <v>37</v>
      </c>
      <c r="E2" s="47"/>
      <c r="F2" s="25" t="s">
        <v>115</v>
      </c>
      <c r="G2" s="25" t="s">
        <v>113</v>
      </c>
      <c r="H2" s="25" t="s">
        <v>116</v>
      </c>
      <c r="I2" s="25" t="s">
        <v>117</v>
      </c>
      <c r="K2" s="28" t="s">
        <v>118</v>
      </c>
      <c r="L2" s="28">
        <v>21</v>
      </c>
    </row>
    <row r="3" spans="1:18" ht="14.25" customHeight="1" x14ac:dyDescent="0.15">
      <c r="A3" s="48" t="s">
        <v>32</v>
      </c>
      <c r="B3" s="49">
        <v>45244</v>
      </c>
      <c r="C3" s="49" t="s">
        <v>58</v>
      </c>
      <c r="D3" s="49">
        <v>1042</v>
      </c>
      <c r="E3" s="50"/>
      <c r="F3" s="51"/>
      <c r="G3" s="50"/>
      <c r="H3" s="50"/>
      <c r="I3" s="50"/>
      <c r="K3" s="28" t="s">
        <v>119</v>
      </c>
      <c r="L3" s="28">
        <v>70</v>
      </c>
    </row>
    <row r="4" spans="1:18" ht="14.25" customHeight="1" x14ac:dyDescent="0.15">
      <c r="A4" s="52" t="s">
        <v>32</v>
      </c>
      <c r="B4" s="53">
        <v>45243</v>
      </c>
      <c r="C4" s="53" t="s">
        <v>56</v>
      </c>
      <c r="D4" s="53">
        <v>5500</v>
      </c>
      <c r="E4" s="47"/>
      <c r="F4" s="51"/>
      <c r="G4" s="50"/>
      <c r="H4" s="50"/>
      <c r="I4" s="50"/>
      <c r="K4" s="28" t="s">
        <v>120</v>
      </c>
      <c r="L4" s="28">
        <v>65</v>
      </c>
    </row>
    <row r="5" spans="1:18" ht="14.25" customHeight="1" x14ac:dyDescent="0.15">
      <c r="A5" s="54" t="s">
        <v>32</v>
      </c>
      <c r="B5" s="55">
        <v>45243</v>
      </c>
      <c r="C5" s="55" t="s">
        <v>56</v>
      </c>
      <c r="D5" s="55">
        <v>5500</v>
      </c>
      <c r="E5" s="56"/>
      <c r="F5" s="51"/>
      <c r="G5" s="50"/>
      <c r="H5" s="50"/>
      <c r="I5" s="50"/>
      <c r="K5" s="28" t="s">
        <v>121</v>
      </c>
      <c r="L5" s="28">
        <v>31</v>
      </c>
    </row>
    <row r="6" spans="1:18" ht="14.25" customHeight="1" x14ac:dyDescent="0.15">
      <c r="A6" s="52" t="s">
        <v>32</v>
      </c>
      <c r="B6" s="53">
        <v>45118</v>
      </c>
      <c r="C6" s="53" t="s">
        <v>56</v>
      </c>
      <c r="D6" s="53">
        <v>5500</v>
      </c>
      <c r="E6" s="57"/>
      <c r="F6" s="51"/>
      <c r="G6" s="50"/>
      <c r="H6" s="50"/>
      <c r="I6" s="50"/>
      <c r="K6" s="28" t="s">
        <v>122</v>
      </c>
      <c r="L6" s="28">
        <v>40</v>
      </c>
    </row>
    <row r="7" spans="1:18" ht="14.25" customHeight="1" x14ac:dyDescent="0.15">
      <c r="A7" s="58" t="s">
        <v>32</v>
      </c>
      <c r="B7" s="59">
        <v>45118</v>
      </c>
      <c r="C7" s="59" t="s">
        <v>60</v>
      </c>
      <c r="D7" s="59">
        <v>15</v>
      </c>
      <c r="E7" s="50"/>
      <c r="F7" s="51"/>
      <c r="G7" s="50"/>
      <c r="H7" s="50"/>
      <c r="I7" s="50"/>
      <c r="K7" s="28" t="s">
        <v>123</v>
      </c>
      <c r="L7" s="28">
        <v>18</v>
      </c>
    </row>
    <row r="8" spans="1:18" ht="14.25" customHeight="1" x14ac:dyDescent="0.15">
      <c r="A8" s="52" t="s">
        <v>32</v>
      </c>
      <c r="B8" s="53">
        <v>45109</v>
      </c>
      <c r="C8" s="53" t="s">
        <v>60</v>
      </c>
      <c r="D8" s="53">
        <v>15</v>
      </c>
      <c r="E8" s="47"/>
      <c r="F8" s="51"/>
      <c r="G8" s="50"/>
      <c r="H8" s="50"/>
      <c r="I8" s="50"/>
      <c r="K8" s="28" t="s">
        <v>124</v>
      </c>
      <c r="L8" s="28">
        <v>51</v>
      </c>
    </row>
    <row r="9" spans="1:18" ht="14.25" customHeight="1" x14ac:dyDescent="0.15">
      <c r="A9" s="54" t="s">
        <v>32</v>
      </c>
      <c r="B9" s="55">
        <v>45109</v>
      </c>
      <c r="C9" s="55" t="s">
        <v>58</v>
      </c>
      <c r="D9" s="55">
        <v>1058</v>
      </c>
      <c r="E9" s="50"/>
      <c r="F9" s="51"/>
      <c r="G9" s="50"/>
      <c r="H9" s="50"/>
      <c r="I9" s="50"/>
      <c r="K9" s="28" t="s">
        <v>125</v>
      </c>
      <c r="L9" s="28">
        <v>20</v>
      </c>
    </row>
    <row r="10" spans="1:18" ht="14.25" customHeight="1" x14ac:dyDescent="0.15">
      <c r="A10" s="52" t="s">
        <v>32</v>
      </c>
      <c r="B10" s="53">
        <v>45108</v>
      </c>
      <c r="C10" s="53" t="s">
        <v>60</v>
      </c>
      <c r="D10" s="53">
        <v>15</v>
      </c>
      <c r="E10" s="47"/>
      <c r="F10" s="51"/>
      <c r="G10" s="50"/>
      <c r="H10" s="50"/>
      <c r="I10" s="50"/>
      <c r="K10" s="28" t="s">
        <v>126</v>
      </c>
      <c r="L10" s="28">
        <v>75</v>
      </c>
    </row>
    <row r="11" spans="1:18" ht="14.25" customHeight="1" x14ac:dyDescent="0.15">
      <c r="A11" s="54" t="s">
        <v>32</v>
      </c>
      <c r="B11" s="55">
        <v>45108</v>
      </c>
      <c r="C11" s="55" t="s">
        <v>56</v>
      </c>
      <c r="D11" s="55">
        <v>5500</v>
      </c>
      <c r="E11" s="50"/>
      <c r="F11" s="51"/>
      <c r="G11" s="50"/>
      <c r="H11" s="50"/>
      <c r="I11" s="50"/>
    </row>
    <row r="12" spans="1:18" ht="14.25" customHeight="1" x14ac:dyDescent="0.15">
      <c r="A12" s="52" t="s">
        <v>55</v>
      </c>
      <c r="B12" s="53">
        <v>45107</v>
      </c>
      <c r="C12" s="53" t="s">
        <v>30</v>
      </c>
      <c r="D12" s="53">
        <v>59</v>
      </c>
      <c r="E12" s="47"/>
      <c r="F12" s="51"/>
      <c r="G12" s="50"/>
      <c r="H12" s="50"/>
      <c r="I12" s="50"/>
    </row>
    <row r="13" spans="1:18" ht="14.25" customHeight="1" x14ac:dyDescent="0.15">
      <c r="A13" s="54" t="s">
        <v>32</v>
      </c>
      <c r="B13" s="55">
        <v>45107</v>
      </c>
      <c r="C13" s="55" t="s">
        <v>56</v>
      </c>
      <c r="D13" s="55">
        <v>5500</v>
      </c>
      <c r="E13" s="50"/>
      <c r="F13" s="51"/>
      <c r="G13" s="50"/>
      <c r="H13" s="50"/>
      <c r="I13" s="50"/>
      <c r="K13" s="28" t="s">
        <v>127</v>
      </c>
    </row>
    <row r="14" spans="1:18" ht="14.25" customHeight="1" x14ac:dyDescent="0.15">
      <c r="A14" s="52" t="s">
        <v>55</v>
      </c>
      <c r="B14" s="53">
        <v>45107</v>
      </c>
      <c r="C14" s="53" t="s">
        <v>30</v>
      </c>
      <c r="D14" s="53">
        <v>59</v>
      </c>
      <c r="E14" s="47"/>
      <c r="F14" s="51"/>
      <c r="G14" s="50"/>
      <c r="H14" s="50"/>
      <c r="I14" s="50"/>
      <c r="K14" s="28" t="s">
        <v>128</v>
      </c>
    </row>
    <row r="15" spans="1:18" ht="14.25" customHeight="1" x14ac:dyDescent="0.15">
      <c r="A15" s="54" t="s">
        <v>32</v>
      </c>
      <c r="B15" s="55">
        <v>45107</v>
      </c>
      <c r="C15" s="55" t="s">
        <v>30</v>
      </c>
      <c r="D15" s="55">
        <v>92</v>
      </c>
      <c r="E15" s="50"/>
      <c r="F15" s="51"/>
      <c r="G15" s="50"/>
      <c r="H15" s="50"/>
      <c r="I15" s="50"/>
      <c r="K15" s="28" t="s">
        <v>129</v>
      </c>
    </row>
    <row r="16" spans="1:18" ht="14.25" customHeight="1" x14ac:dyDescent="0.15">
      <c r="A16" s="52" t="s">
        <v>32</v>
      </c>
      <c r="B16" s="53">
        <v>45107</v>
      </c>
      <c r="C16" s="53" t="s">
        <v>33</v>
      </c>
      <c r="D16" s="53">
        <v>8.51</v>
      </c>
      <c r="E16" s="47"/>
      <c r="F16" s="51"/>
      <c r="G16" s="50"/>
      <c r="H16" s="50"/>
      <c r="I16" s="50"/>
    </row>
    <row r="17" spans="1:9" ht="14.25" customHeight="1" x14ac:dyDescent="0.15">
      <c r="A17" s="54" t="s">
        <v>55</v>
      </c>
      <c r="B17" s="55">
        <v>45107</v>
      </c>
      <c r="C17" s="55" t="s">
        <v>30</v>
      </c>
      <c r="D17" s="55">
        <v>59</v>
      </c>
      <c r="E17" s="50"/>
      <c r="F17" s="51"/>
      <c r="G17" s="50"/>
      <c r="H17" s="50"/>
      <c r="I17" s="50"/>
    </row>
    <row r="18" spans="1:9" ht="14.25" customHeight="1" x14ac:dyDescent="0.15">
      <c r="A18" s="52" t="s">
        <v>55</v>
      </c>
      <c r="B18" s="53">
        <v>45107</v>
      </c>
      <c r="C18" s="53" t="s">
        <v>30</v>
      </c>
      <c r="D18" s="53">
        <v>59</v>
      </c>
      <c r="E18" s="47"/>
      <c r="F18" s="51"/>
      <c r="G18" s="50"/>
      <c r="H18" s="50"/>
      <c r="I18" s="50"/>
    </row>
    <row r="19" spans="1:9" ht="14.25" customHeight="1" x14ac:dyDescent="0.15">
      <c r="A19" s="54" t="s">
        <v>55</v>
      </c>
      <c r="B19" s="55">
        <v>45107</v>
      </c>
      <c r="C19" s="55" t="s">
        <v>30</v>
      </c>
      <c r="D19" s="55">
        <v>59</v>
      </c>
      <c r="E19" s="50"/>
      <c r="F19" s="51"/>
      <c r="G19" s="50"/>
      <c r="H19" s="50"/>
      <c r="I19" s="50"/>
    </row>
    <row r="20" spans="1:9" ht="14.25" customHeight="1" x14ac:dyDescent="0.15">
      <c r="A20" s="52" t="s">
        <v>55</v>
      </c>
      <c r="B20" s="53">
        <v>45107</v>
      </c>
      <c r="C20" s="53" t="s">
        <v>30</v>
      </c>
      <c r="D20" s="53">
        <v>59</v>
      </c>
      <c r="E20" s="47"/>
      <c r="F20" s="51"/>
      <c r="G20" s="50"/>
      <c r="H20" s="50"/>
      <c r="I20" s="47"/>
    </row>
    <row r="21" spans="1:9" ht="14.25" customHeight="1" x14ac:dyDescent="0.15">
      <c r="A21" s="54" t="s">
        <v>55</v>
      </c>
      <c r="B21" s="55">
        <v>45107</v>
      </c>
      <c r="C21" s="55" t="s">
        <v>30</v>
      </c>
      <c r="D21" s="55">
        <v>59</v>
      </c>
      <c r="E21" s="50"/>
      <c r="F21" s="51"/>
      <c r="G21" s="50"/>
      <c r="H21" s="50"/>
      <c r="I21" s="50"/>
    </row>
    <row r="22" spans="1:9" ht="14.25" customHeight="1" x14ac:dyDescent="0.15">
      <c r="A22" s="52" t="s">
        <v>55</v>
      </c>
      <c r="B22" s="53">
        <v>45107</v>
      </c>
      <c r="C22" s="53" t="s">
        <v>30</v>
      </c>
      <c r="D22" s="53">
        <v>59</v>
      </c>
      <c r="E22" s="47"/>
      <c r="F22" s="51"/>
      <c r="G22" s="50"/>
      <c r="H22" s="50"/>
      <c r="I22" s="47"/>
    </row>
    <row r="23" spans="1:9" ht="14.25" customHeight="1" x14ac:dyDescent="0.15">
      <c r="A23" s="54" t="s">
        <v>55</v>
      </c>
      <c r="B23" s="55">
        <v>45107</v>
      </c>
      <c r="C23" s="55" t="s">
        <v>30</v>
      </c>
      <c r="D23" s="55">
        <v>59</v>
      </c>
      <c r="E23" s="50"/>
      <c r="F23" s="51"/>
      <c r="G23" s="50"/>
      <c r="H23" s="50"/>
      <c r="I23" s="50"/>
    </row>
    <row r="24" spans="1:9" ht="14.25" customHeight="1" x14ac:dyDescent="0.15">
      <c r="A24" s="52" t="s">
        <v>55</v>
      </c>
      <c r="B24" s="53">
        <v>45107</v>
      </c>
      <c r="C24" s="53" t="s">
        <v>30</v>
      </c>
      <c r="D24" s="53">
        <v>59</v>
      </c>
      <c r="E24" s="47"/>
      <c r="F24" s="51"/>
      <c r="G24" s="50"/>
      <c r="H24" s="50"/>
      <c r="I24" s="47"/>
    </row>
    <row r="25" spans="1:9" ht="14.25" customHeight="1" x14ac:dyDescent="0.15">
      <c r="A25" s="54" t="s">
        <v>32</v>
      </c>
      <c r="B25" s="55">
        <v>45106</v>
      </c>
      <c r="C25" s="55" t="s">
        <v>60</v>
      </c>
      <c r="D25" s="55">
        <v>15</v>
      </c>
      <c r="E25" s="50"/>
      <c r="F25" s="51"/>
      <c r="G25" s="50"/>
      <c r="H25" s="50"/>
      <c r="I25" s="50"/>
    </row>
    <row r="26" spans="1:9" ht="14.25" customHeight="1" x14ac:dyDescent="0.15">
      <c r="A26" s="52" t="s">
        <v>32</v>
      </c>
      <c r="B26" s="53">
        <v>45106</v>
      </c>
      <c r="C26" s="53" t="s">
        <v>30</v>
      </c>
      <c r="D26" s="53">
        <v>91</v>
      </c>
      <c r="E26" s="47"/>
      <c r="F26" s="51"/>
      <c r="G26" s="50"/>
      <c r="H26" s="50"/>
      <c r="I26" s="47"/>
    </row>
    <row r="27" spans="1:9" ht="14.25" customHeight="1" x14ac:dyDescent="0.15">
      <c r="A27" s="54" t="s">
        <v>32</v>
      </c>
      <c r="B27" s="55">
        <v>45106</v>
      </c>
      <c r="C27" s="55" t="s">
        <v>60</v>
      </c>
      <c r="D27" s="55">
        <v>15</v>
      </c>
      <c r="E27" s="50"/>
      <c r="F27" s="51"/>
      <c r="G27" s="50"/>
      <c r="H27" s="50"/>
      <c r="I27" s="50"/>
    </row>
    <row r="28" spans="1:9" ht="14.25" customHeight="1" x14ac:dyDescent="0.15">
      <c r="A28" s="52" t="s">
        <v>32</v>
      </c>
      <c r="B28" s="53">
        <v>45105</v>
      </c>
      <c r="C28" s="53" t="s">
        <v>33</v>
      </c>
      <c r="D28" s="53">
        <v>8.51</v>
      </c>
      <c r="E28" s="47"/>
      <c r="F28" s="51"/>
      <c r="G28" s="50"/>
      <c r="H28" s="50"/>
      <c r="I28" s="47"/>
    </row>
    <row r="29" spans="1:9" ht="14.25" customHeight="1" x14ac:dyDescent="0.15">
      <c r="A29" s="54" t="s">
        <v>32</v>
      </c>
      <c r="B29" s="55">
        <v>45104</v>
      </c>
      <c r="C29" s="55" t="s">
        <v>60</v>
      </c>
      <c r="D29" s="55">
        <v>15</v>
      </c>
      <c r="E29" s="50"/>
      <c r="F29" s="51"/>
      <c r="G29" s="50"/>
      <c r="H29" s="50"/>
      <c r="I29" s="50"/>
    </row>
    <row r="30" spans="1:9" ht="14.25" customHeight="1" x14ac:dyDescent="0.15">
      <c r="A30" s="52" t="s">
        <v>32</v>
      </c>
      <c r="B30" s="53">
        <v>45102</v>
      </c>
      <c r="C30" s="53" t="s">
        <v>56</v>
      </c>
      <c r="D30" s="53">
        <v>5500</v>
      </c>
      <c r="E30" s="47"/>
      <c r="F30" s="51"/>
      <c r="G30" s="50"/>
      <c r="H30" s="50"/>
      <c r="I30" s="47"/>
    </row>
    <row r="31" spans="1:9" ht="14.25" customHeight="1" x14ac:dyDescent="0.15">
      <c r="A31" s="54" t="s">
        <v>32</v>
      </c>
      <c r="B31" s="55">
        <v>45101</v>
      </c>
      <c r="C31" s="55" t="s">
        <v>30</v>
      </c>
      <c r="D31" s="55">
        <v>84</v>
      </c>
      <c r="E31" s="50"/>
      <c r="F31" s="51"/>
      <c r="G31" s="50"/>
      <c r="H31" s="50"/>
      <c r="I31" s="50"/>
    </row>
    <row r="32" spans="1:9" ht="14.25" customHeight="1" x14ac:dyDescent="0.15">
      <c r="A32" s="52" t="s">
        <v>32</v>
      </c>
      <c r="B32" s="53">
        <v>45100</v>
      </c>
      <c r="C32" s="53" t="s">
        <v>56</v>
      </c>
      <c r="D32" s="53">
        <v>5500</v>
      </c>
      <c r="E32" s="47"/>
      <c r="F32" s="51"/>
      <c r="G32" s="50"/>
      <c r="H32" s="50"/>
      <c r="I32" s="47"/>
    </row>
    <row r="33" spans="1:9" ht="14.25" customHeight="1" x14ac:dyDescent="0.15">
      <c r="A33" s="54" t="s">
        <v>32</v>
      </c>
      <c r="B33" s="55">
        <v>45099</v>
      </c>
      <c r="C33" s="55" t="s">
        <v>56</v>
      </c>
      <c r="D33" s="55">
        <v>5500</v>
      </c>
      <c r="E33" s="50"/>
      <c r="F33" s="51"/>
      <c r="G33" s="50"/>
      <c r="H33" s="50"/>
      <c r="I33" s="50"/>
    </row>
    <row r="34" spans="1:9" ht="14.25" customHeight="1" x14ac:dyDescent="0.15">
      <c r="A34" s="52" t="s">
        <v>32</v>
      </c>
      <c r="B34" s="53">
        <v>45099</v>
      </c>
      <c r="C34" s="53" t="s">
        <v>56</v>
      </c>
      <c r="D34" s="53">
        <v>5500</v>
      </c>
      <c r="E34" s="47"/>
      <c r="F34" s="51"/>
      <c r="G34" s="50"/>
      <c r="H34" s="50"/>
      <c r="I34" s="47"/>
    </row>
    <row r="35" spans="1:9" ht="14.25" customHeight="1" x14ac:dyDescent="0.15">
      <c r="A35" s="54" t="s">
        <v>32</v>
      </c>
      <c r="B35" s="55">
        <v>45099</v>
      </c>
      <c r="C35" s="55" t="s">
        <v>60</v>
      </c>
      <c r="D35" s="55">
        <v>15</v>
      </c>
      <c r="E35" s="50"/>
      <c r="F35" s="51"/>
      <c r="G35" s="50"/>
      <c r="H35" s="50"/>
      <c r="I35" s="50"/>
    </row>
    <row r="36" spans="1:9" ht="14.25" customHeight="1" x14ac:dyDescent="0.15">
      <c r="A36" s="52" t="s">
        <v>32</v>
      </c>
      <c r="B36" s="53">
        <v>45099</v>
      </c>
      <c r="C36" s="53" t="s">
        <v>58</v>
      </c>
      <c r="D36" s="53">
        <v>1161</v>
      </c>
      <c r="E36" s="47"/>
      <c r="F36" s="51"/>
      <c r="G36" s="50"/>
      <c r="H36" s="50"/>
      <c r="I36" s="47"/>
    </row>
    <row r="37" spans="1:9" ht="14.25" customHeight="1" x14ac:dyDescent="0.15">
      <c r="A37" s="54" t="s">
        <v>32</v>
      </c>
      <c r="B37" s="55">
        <v>45097</v>
      </c>
      <c r="C37" s="55" t="s">
        <v>60</v>
      </c>
      <c r="D37" s="55">
        <v>15</v>
      </c>
      <c r="E37" s="50"/>
      <c r="F37" s="51"/>
      <c r="G37" s="50"/>
      <c r="H37" s="50"/>
      <c r="I37" s="50"/>
    </row>
    <row r="38" spans="1:9" ht="14.25" customHeight="1" x14ac:dyDescent="0.15">
      <c r="A38" s="52" t="s">
        <v>32</v>
      </c>
      <c r="B38" s="53">
        <v>45097</v>
      </c>
      <c r="C38" s="53" t="s">
        <v>60</v>
      </c>
      <c r="D38" s="53">
        <v>15</v>
      </c>
      <c r="E38" s="47"/>
      <c r="F38" s="51"/>
      <c r="G38" s="50"/>
      <c r="H38" s="50"/>
      <c r="I38" s="47"/>
    </row>
    <row r="39" spans="1:9" ht="14.25" customHeight="1" x14ac:dyDescent="0.15">
      <c r="A39" s="54" t="s">
        <v>32</v>
      </c>
      <c r="B39" s="55">
        <v>45096</v>
      </c>
      <c r="C39" s="55" t="s">
        <v>60</v>
      </c>
      <c r="D39" s="55">
        <v>12.27</v>
      </c>
      <c r="E39" s="50"/>
      <c r="F39" s="51"/>
      <c r="G39" s="50"/>
      <c r="H39" s="50"/>
      <c r="I39" s="50"/>
    </row>
    <row r="40" spans="1:9" ht="14.25" customHeight="1" x14ac:dyDescent="0.15">
      <c r="A40" s="52" t="s">
        <v>32</v>
      </c>
      <c r="B40" s="53">
        <v>45096</v>
      </c>
      <c r="C40" s="53" t="s">
        <v>60</v>
      </c>
      <c r="D40" s="53">
        <v>15</v>
      </c>
      <c r="E40" s="47"/>
      <c r="F40" s="51"/>
      <c r="G40" s="50"/>
      <c r="H40" s="50"/>
      <c r="I40" s="47"/>
    </row>
    <row r="41" spans="1:9" ht="14.25" customHeight="1" x14ac:dyDescent="0.15">
      <c r="A41" s="54" t="s">
        <v>32</v>
      </c>
      <c r="B41" s="55">
        <v>45096</v>
      </c>
      <c r="C41" s="55" t="s">
        <v>60</v>
      </c>
      <c r="D41" s="55">
        <v>12.27</v>
      </c>
      <c r="E41" s="50"/>
      <c r="F41" s="51"/>
      <c r="G41" s="50"/>
      <c r="H41" s="50"/>
      <c r="I41" s="50"/>
    </row>
    <row r="42" spans="1:9" ht="14.25" customHeight="1" x14ac:dyDescent="0.15">
      <c r="A42" s="52" t="s">
        <v>32</v>
      </c>
      <c r="B42" s="53">
        <v>45096</v>
      </c>
      <c r="C42" s="53" t="s">
        <v>56</v>
      </c>
      <c r="D42" s="53">
        <v>5500</v>
      </c>
      <c r="E42" s="47"/>
      <c r="F42" s="51"/>
      <c r="G42" s="50"/>
      <c r="H42" s="50"/>
      <c r="I42" s="47"/>
    </row>
    <row r="43" spans="1:9" ht="14.25" customHeight="1" x14ac:dyDescent="0.15">
      <c r="A43" s="54" t="s">
        <v>32</v>
      </c>
      <c r="B43" s="55">
        <v>45096</v>
      </c>
      <c r="C43" s="55" t="s">
        <v>56</v>
      </c>
      <c r="D43" s="55">
        <v>4500.1000000000004</v>
      </c>
      <c r="E43" s="50"/>
      <c r="F43" s="51"/>
      <c r="G43" s="50"/>
      <c r="H43" s="50"/>
      <c r="I43" s="50"/>
    </row>
    <row r="44" spans="1:9" ht="14.25" customHeight="1" x14ac:dyDescent="0.15">
      <c r="A44" s="52" t="s">
        <v>32</v>
      </c>
      <c r="B44" s="53">
        <v>45096</v>
      </c>
      <c r="C44" s="53" t="s">
        <v>33</v>
      </c>
      <c r="D44" s="53">
        <v>6.96</v>
      </c>
      <c r="E44" s="47"/>
      <c r="F44" s="51"/>
      <c r="G44" s="50"/>
      <c r="H44" s="50"/>
      <c r="I44" s="47"/>
    </row>
    <row r="45" spans="1:9" ht="14.25" customHeight="1" x14ac:dyDescent="0.15">
      <c r="A45" s="54" t="s">
        <v>32</v>
      </c>
      <c r="B45" s="55">
        <v>45096</v>
      </c>
      <c r="C45" s="55" t="s">
        <v>33</v>
      </c>
      <c r="D45" s="55">
        <v>6.51</v>
      </c>
      <c r="E45" s="50"/>
      <c r="F45" s="51"/>
      <c r="G45" s="50"/>
      <c r="H45" s="50"/>
      <c r="I45" s="50"/>
    </row>
    <row r="46" spans="1:9" ht="14.25" customHeight="1" x14ac:dyDescent="0.15">
      <c r="A46" s="52" t="s">
        <v>32</v>
      </c>
      <c r="B46" s="53">
        <v>45095</v>
      </c>
      <c r="C46" s="53" t="s">
        <v>33</v>
      </c>
      <c r="D46" s="53">
        <v>6.51</v>
      </c>
      <c r="E46" s="47"/>
      <c r="F46" s="51"/>
      <c r="G46" s="50"/>
      <c r="H46" s="50"/>
      <c r="I46" s="47"/>
    </row>
    <row r="47" spans="1:9" ht="14.25" customHeight="1" x14ac:dyDescent="0.15">
      <c r="A47" s="54" t="s">
        <v>32</v>
      </c>
      <c r="B47" s="55">
        <v>45095</v>
      </c>
      <c r="C47" s="55" t="s">
        <v>56</v>
      </c>
      <c r="D47" s="55">
        <v>4500.1000000000004</v>
      </c>
      <c r="E47" s="50"/>
      <c r="F47" s="51"/>
      <c r="G47" s="50"/>
      <c r="H47" s="50"/>
      <c r="I47" s="50"/>
    </row>
    <row r="48" spans="1:9" ht="14.25" customHeight="1" x14ac:dyDescent="0.15">
      <c r="A48" s="52" t="s">
        <v>32</v>
      </c>
      <c r="B48" s="53">
        <v>45095</v>
      </c>
      <c r="C48" s="53" t="s">
        <v>60</v>
      </c>
      <c r="D48" s="53">
        <v>15</v>
      </c>
      <c r="E48" s="47"/>
      <c r="F48" s="51"/>
      <c r="G48" s="50"/>
      <c r="H48" s="50"/>
      <c r="I48" s="47"/>
    </row>
    <row r="49" spans="1:9" ht="14.25" customHeight="1" x14ac:dyDescent="0.15">
      <c r="A49" s="54" t="s">
        <v>32</v>
      </c>
      <c r="B49" s="55">
        <v>45094</v>
      </c>
      <c r="C49" s="55" t="s">
        <v>60</v>
      </c>
      <c r="D49" s="55">
        <v>15</v>
      </c>
      <c r="E49" s="50"/>
      <c r="F49" s="51"/>
      <c r="G49" s="50"/>
      <c r="H49" s="50"/>
      <c r="I49" s="50"/>
    </row>
    <row r="50" spans="1:9" ht="14.25" customHeight="1" x14ac:dyDescent="0.15">
      <c r="A50" s="52" t="s">
        <v>32</v>
      </c>
      <c r="B50" s="53">
        <v>45094</v>
      </c>
      <c r="C50" s="53" t="s">
        <v>56</v>
      </c>
      <c r="D50" s="53">
        <v>4500.1000000000004</v>
      </c>
      <c r="E50" s="47"/>
      <c r="F50" s="51"/>
      <c r="G50" s="50"/>
      <c r="H50" s="50"/>
      <c r="I50" s="47"/>
    </row>
    <row r="51" spans="1:9" ht="14.25" customHeight="1" x14ac:dyDescent="0.15">
      <c r="A51" s="54" t="s">
        <v>32</v>
      </c>
      <c r="B51" s="55">
        <v>45093</v>
      </c>
      <c r="C51" s="55" t="s">
        <v>60</v>
      </c>
      <c r="D51" s="55">
        <v>15</v>
      </c>
      <c r="E51" s="50"/>
      <c r="F51" s="51"/>
      <c r="G51" s="50"/>
      <c r="H51" s="50"/>
      <c r="I51" s="50"/>
    </row>
    <row r="52" spans="1:9" ht="14.25" customHeight="1" x14ac:dyDescent="0.15">
      <c r="A52" s="52" t="s">
        <v>32</v>
      </c>
      <c r="B52" s="53">
        <v>45093</v>
      </c>
      <c r="C52" s="53" t="s">
        <v>56</v>
      </c>
      <c r="D52" s="53">
        <v>4500.1000000000004</v>
      </c>
      <c r="E52" s="47"/>
      <c r="F52" s="51"/>
      <c r="G52" s="50"/>
      <c r="H52" s="50"/>
      <c r="I52" s="47"/>
    </row>
    <row r="53" spans="1:9" ht="14.25" customHeight="1" x14ac:dyDescent="0.15">
      <c r="A53" s="54" t="s">
        <v>32</v>
      </c>
      <c r="B53" s="55">
        <v>45093</v>
      </c>
      <c r="C53" s="55" t="s">
        <v>60</v>
      </c>
      <c r="D53" s="55">
        <v>15</v>
      </c>
      <c r="E53" s="50"/>
      <c r="F53" s="51"/>
      <c r="G53" s="50"/>
      <c r="H53" s="50"/>
      <c r="I53" s="50"/>
    </row>
    <row r="54" spans="1:9" ht="14.25" customHeight="1" x14ac:dyDescent="0.15">
      <c r="A54" s="52" t="s">
        <v>32</v>
      </c>
      <c r="B54" s="53">
        <v>45093</v>
      </c>
      <c r="C54" s="53" t="s">
        <v>56</v>
      </c>
      <c r="D54" s="53">
        <v>5500</v>
      </c>
      <c r="E54" s="47"/>
      <c r="F54" s="51"/>
      <c r="G54" s="50"/>
      <c r="H54" s="50"/>
      <c r="I54" s="47"/>
    </row>
    <row r="55" spans="1:9" ht="14.25" customHeight="1" x14ac:dyDescent="0.15">
      <c r="A55" s="54" t="s">
        <v>32</v>
      </c>
      <c r="B55" s="55">
        <v>45093</v>
      </c>
      <c r="C55" s="55" t="s">
        <v>56</v>
      </c>
      <c r="D55" s="55">
        <v>5500</v>
      </c>
      <c r="E55" s="50"/>
      <c r="F55" s="51"/>
      <c r="G55" s="50"/>
      <c r="H55" s="50"/>
      <c r="I55" s="50"/>
    </row>
    <row r="56" spans="1:9" ht="14.25" customHeight="1" x14ac:dyDescent="0.15">
      <c r="A56" s="52" t="s">
        <v>32</v>
      </c>
      <c r="B56" s="53">
        <v>45093</v>
      </c>
      <c r="C56" s="53" t="s">
        <v>60</v>
      </c>
      <c r="D56" s="53">
        <v>12.27</v>
      </c>
      <c r="E56" s="47"/>
      <c r="F56" s="51"/>
      <c r="G56" s="50"/>
      <c r="H56" s="50"/>
      <c r="I56" s="47"/>
    </row>
    <row r="57" spans="1:9" ht="14.25" customHeight="1" x14ac:dyDescent="0.15">
      <c r="A57" s="54" t="s">
        <v>32</v>
      </c>
      <c r="B57" s="55">
        <v>45092</v>
      </c>
      <c r="C57" s="55" t="s">
        <v>56</v>
      </c>
      <c r="D57" s="55">
        <v>4500.1000000000004</v>
      </c>
      <c r="E57" s="50"/>
      <c r="F57" s="51"/>
      <c r="G57" s="50"/>
      <c r="H57" s="50"/>
      <c r="I57" s="50"/>
    </row>
    <row r="58" spans="1:9" ht="14.25" customHeight="1" x14ac:dyDescent="0.15">
      <c r="A58" s="52" t="s">
        <v>55</v>
      </c>
      <c r="B58" s="53">
        <v>45092</v>
      </c>
      <c r="C58" s="53" t="s">
        <v>60</v>
      </c>
      <c r="D58" s="53">
        <v>9</v>
      </c>
      <c r="E58" s="47"/>
      <c r="F58" s="51"/>
      <c r="G58" s="50"/>
      <c r="H58" s="50"/>
      <c r="I58" s="47"/>
    </row>
    <row r="59" spans="1:9" ht="14.25" customHeight="1" x14ac:dyDescent="0.15">
      <c r="A59" s="54" t="s">
        <v>32</v>
      </c>
      <c r="B59" s="55">
        <v>45091</v>
      </c>
      <c r="C59" s="55" t="s">
        <v>56</v>
      </c>
      <c r="D59" s="55">
        <v>5500</v>
      </c>
      <c r="E59" s="50"/>
      <c r="F59" s="51"/>
      <c r="G59" s="50"/>
      <c r="H59" s="50"/>
      <c r="I59" s="50"/>
    </row>
    <row r="60" spans="1:9" ht="14.25" customHeight="1" x14ac:dyDescent="0.15">
      <c r="A60" s="52" t="s">
        <v>32</v>
      </c>
      <c r="B60" s="53">
        <v>45091</v>
      </c>
      <c r="C60" s="53" t="s">
        <v>56</v>
      </c>
      <c r="D60" s="53">
        <v>5500</v>
      </c>
      <c r="E60" s="47"/>
      <c r="F60" s="51"/>
      <c r="G60" s="50"/>
      <c r="H60" s="50"/>
      <c r="I60" s="47"/>
    </row>
    <row r="61" spans="1:9" ht="14.25" customHeight="1" x14ac:dyDescent="0.15">
      <c r="A61" s="54" t="s">
        <v>32</v>
      </c>
      <c r="B61" s="55">
        <v>45090</v>
      </c>
      <c r="C61" s="55" t="s">
        <v>58</v>
      </c>
      <c r="D61" s="55">
        <v>1255</v>
      </c>
      <c r="E61" s="50"/>
      <c r="F61" s="51"/>
      <c r="G61" s="50"/>
      <c r="H61" s="50"/>
      <c r="I61" s="50"/>
    </row>
    <row r="62" spans="1:9" ht="14.25" customHeight="1" x14ac:dyDescent="0.15">
      <c r="A62" s="52" t="s">
        <v>32</v>
      </c>
      <c r="B62" s="53">
        <v>45089</v>
      </c>
      <c r="C62" s="53" t="s">
        <v>56</v>
      </c>
      <c r="D62" s="53">
        <v>5500</v>
      </c>
      <c r="E62" s="47"/>
      <c r="F62" s="51"/>
      <c r="G62" s="50"/>
      <c r="H62" s="50"/>
      <c r="I62" s="47"/>
    </row>
    <row r="63" spans="1:9" ht="14.25" customHeight="1" x14ac:dyDescent="0.15">
      <c r="A63" s="54" t="s">
        <v>55</v>
      </c>
      <c r="B63" s="55">
        <v>45089</v>
      </c>
      <c r="C63" s="55" t="s">
        <v>33</v>
      </c>
      <c r="D63" s="55">
        <v>4.1900000000000004</v>
      </c>
      <c r="E63" s="50"/>
      <c r="F63" s="51"/>
      <c r="G63" s="50"/>
      <c r="H63" s="50"/>
      <c r="I63" s="50"/>
    </row>
    <row r="64" spans="1:9" ht="14.25" customHeight="1" x14ac:dyDescent="0.15">
      <c r="A64" s="52" t="s">
        <v>55</v>
      </c>
      <c r="B64" s="53">
        <v>45089</v>
      </c>
      <c r="C64" s="53" t="s">
        <v>56</v>
      </c>
      <c r="D64" s="53">
        <v>2500</v>
      </c>
      <c r="E64" s="47"/>
      <c r="F64" s="51"/>
      <c r="G64" s="50"/>
      <c r="H64" s="50"/>
      <c r="I64" s="47"/>
    </row>
    <row r="65" spans="1:9" ht="14.25" customHeight="1" x14ac:dyDescent="0.15">
      <c r="A65" s="54" t="s">
        <v>55</v>
      </c>
      <c r="B65" s="55">
        <v>45089</v>
      </c>
      <c r="C65" s="55" t="s">
        <v>56</v>
      </c>
      <c r="D65" s="55">
        <v>2500</v>
      </c>
      <c r="E65" s="50"/>
      <c r="F65" s="51"/>
      <c r="G65" s="50"/>
      <c r="H65" s="50"/>
      <c r="I65" s="50"/>
    </row>
    <row r="66" spans="1:9" ht="14.25" customHeight="1" x14ac:dyDescent="0.15">
      <c r="A66" s="52" t="s">
        <v>55</v>
      </c>
      <c r="B66" s="53">
        <v>45089</v>
      </c>
      <c r="C66" s="53" t="s">
        <v>56</v>
      </c>
      <c r="D66" s="53">
        <v>3500</v>
      </c>
      <c r="E66" s="47"/>
      <c r="F66" s="51"/>
      <c r="G66" s="50"/>
      <c r="H66" s="50"/>
      <c r="I66" s="47"/>
    </row>
    <row r="67" spans="1:9" ht="14.25" customHeight="1" x14ac:dyDescent="0.15">
      <c r="A67" s="54" t="s">
        <v>32</v>
      </c>
      <c r="B67" s="55">
        <v>45089</v>
      </c>
      <c r="C67" s="55" t="s">
        <v>56</v>
      </c>
      <c r="D67" s="55">
        <v>5500</v>
      </c>
      <c r="E67" s="50"/>
      <c r="F67" s="51"/>
      <c r="G67" s="50"/>
      <c r="H67" s="50"/>
      <c r="I67" s="50"/>
    </row>
    <row r="68" spans="1:9" ht="14.25" customHeight="1" x14ac:dyDescent="0.15">
      <c r="A68" s="52" t="s">
        <v>55</v>
      </c>
      <c r="B68" s="53">
        <v>45089</v>
      </c>
      <c r="C68" s="53" t="s">
        <v>33</v>
      </c>
      <c r="D68" s="53">
        <v>20</v>
      </c>
      <c r="E68" s="47"/>
      <c r="F68" s="51"/>
      <c r="G68" s="50"/>
      <c r="H68" s="50"/>
      <c r="I68" s="47"/>
    </row>
    <row r="69" spans="1:9" ht="14.25" customHeight="1" x14ac:dyDescent="0.15">
      <c r="A69" s="54" t="s">
        <v>32</v>
      </c>
      <c r="B69" s="55">
        <v>45088</v>
      </c>
      <c r="C69" s="55" t="s">
        <v>60</v>
      </c>
      <c r="D69" s="55">
        <v>15</v>
      </c>
      <c r="E69" s="50"/>
      <c r="F69" s="51"/>
      <c r="G69" s="50"/>
      <c r="H69" s="50"/>
      <c r="I69" s="50"/>
    </row>
    <row r="70" spans="1:9" ht="14.25" customHeight="1" x14ac:dyDescent="0.15">
      <c r="A70" s="52" t="s">
        <v>32</v>
      </c>
      <c r="B70" s="53">
        <v>45088</v>
      </c>
      <c r="C70" s="53" t="s">
        <v>56</v>
      </c>
      <c r="D70" s="53">
        <v>5500</v>
      </c>
      <c r="E70" s="47"/>
      <c r="F70" s="51"/>
      <c r="G70" s="50"/>
      <c r="H70" s="50"/>
      <c r="I70" s="47"/>
    </row>
    <row r="71" spans="1:9" ht="14.25" customHeight="1" x14ac:dyDescent="0.15">
      <c r="A71" s="54" t="s">
        <v>32</v>
      </c>
      <c r="B71" s="55">
        <v>45088</v>
      </c>
      <c r="C71" s="55" t="s">
        <v>56</v>
      </c>
      <c r="D71" s="55">
        <v>5500</v>
      </c>
      <c r="E71" s="50"/>
      <c r="F71" s="51"/>
      <c r="G71" s="50"/>
      <c r="H71" s="50"/>
      <c r="I71" s="50"/>
    </row>
    <row r="72" spans="1:9" ht="14.25" customHeight="1" x14ac:dyDescent="0.15">
      <c r="A72" s="52" t="s">
        <v>32</v>
      </c>
      <c r="B72" s="53">
        <v>45088</v>
      </c>
      <c r="C72" s="53" t="s">
        <v>60</v>
      </c>
      <c r="D72" s="53">
        <v>15</v>
      </c>
      <c r="E72" s="47"/>
      <c r="F72" s="51"/>
      <c r="G72" s="50"/>
      <c r="H72" s="50"/>
      <c r="I72" s="47"/>
    </row>
    <row r="73" spans="1:9" ht="14.25" customHeight="1" x14ac:dyDescent="0.15">
      <c r="A73" s="54" t="s">
        <v>32</v>
      </c>
      <c r="B73" s="55">
        <v>45088</v>
      </c>
      <c r="C73" s="55" t="s">
        <v>56</v>
      </c>
      <c r="D73" s="55">
        <v>5500</v>
      </c>
      <c r="E73" s="50"/>
      <c r="F73" s="51"/>
      <c r="G73" s="50"/>
      <c r="H73" s="50"/>
      <c r="I73" s="50"/>
    </row>
    <row r="74" spans="1:9" ht="14.25" customHeight="1" x14ac:dyDescent="0.15">
      <c r="A74" s="52" t="s">
        <v>32</v>
      </c>
      <c r="B74" s="53">
        <v>45088</v>
      </c>
      <c r="C74" s="53" t="s">
        <v>33</v>
      </c>
      <c r="D74" s="53">
        <v>9.24</v>
      </c>
      <c r="E74" s="47"/>
      <c r="F74" s="51"/>
      <c r="G74" s="50"/>
      <c r="H74" s="50"/>
      <c r="I74" s="47"/>
    </row>
    <row r="75" spans="1:9" ht="14.25" customHeight="1" x14ac:dyDescent="0.15">
      <c r="A75" s="54" t="s">
        <v>32</v>
      </c>
      <c r="B75" s="55">
        <v>45088</v>
      </c>
      <c r="C75" s="55" t="s">
        <v>56</v>
      </c>
      <c r="D75" s="55">
        <v>5500</v>
      </c>
      <c r="E75" s="50"/>
      <c r="F75" s="51"/>
      <c r="G75" s="50"/>
      <c r="H75" s="50"/>
      <c r="I75" s="50"/>
    </row>
    <row r="76" spans="1:9" ht="14.25" customHeight="1" x14ac:dyDescent="0.15">
      <c r="A76" s="52" t="s">
        <v>32</v>
      </c>
      <c r="B76" s="53">
        <v>45088</v>
      </c>
      <c r="C76" s="53" t="s">
        <v>56</v>
      </c>
      <c r="D76" s="53">
        <v>5500</v>
      </c>
      <c r="E76" s="47"/>
      <c r="F76" s="51"/>
      <c r="G76" s="50"/>
      <c r="H76" s="50"/>
      <c r="I76" s="47"/>
    </row>
    <row r="77" spans="1:9" ht="14.25" customHeight="1" x14ac:dyDescent="0.15">
      <c r="A77" s="54" t="s">
        <v>32</v>
      </c>
      <c r="B77" s="55">
        <v>45088</v>
      </c>
      <c r="C77" s="55" t="s">
        <v>56</v>
      </c>
      <c r="D77" s="55">
        <v>5500</v>
      </c>
      <c r="E77" s="50"/>
      <c r="F77" s="51"/>
      <c r="G77" s="50"/>
      <c r="H77" s="50"/>
      <c r="I77" s="50"/>
    </row>
    <row r="78" spans="1:9" ht="14.25" customHeight="1" x14ac:dyDescent="0.15">
      <c r="A78" s="52" t="s">
        <v>32</v>
      </c>
      <c r="B78" s="53">
        <v>45088</v>
      </c>
      <c r="C78" s="53" t="s">
        <v>56</v>
      </c>
      <c r="D78" s="53">
        <v>5500</v>
      </c>
      <c r="E78" s="47"/>
      <c r="F78" s="51"/>
      <c r="G78" s="50"/>
      <c r="H78" s="50"/>
      <c r="I78" s="47"/>
    </row>
    <row r="79" spans="1:9" ht="14.25" customHeight="1" x14ac:dyDescent="0.15">
      <c r="A79" s="54" t="s">
        <v>32</v>
      </c>
      <c r="B79" s="55">
        <v>45088</v>
      </c>
      <c r="C79" s="55" t="s">
        <v>60</v>
      </c>
      <c r="D79" s="55">
        <v>15</v>
      </c>
      <c r="E79" s="50"/>
      <c r="F79" s="51"/>
      <c r="G79" s="50"/>
      <c r="H79" s="50"/>
      <c r="I79" s="50"/>
    </row>
    <row r="80" spans="1:9" ht="14.25" customHeight="1" x14ac:dyDescent="0.15">
      <c r="A80" s="52" t="s">
        <v>32</v>
      </c>
      <c r="B80" s="53">
        <v>45088</v>
      </c>
      <c r="C80" s="53" t="s">
        <v>56</v>
      </c>
      <c r="D80" s="53">
        <v>5500</v>
      </c>
      <c r="E80" s="47"/>
      <c r="F80" s="51"/>
      <c r="G80" s="50"/>
      <c r="H80" s="50"/>
      <c r="I80" s="47"/>
    </row>
    <row r="81" spans="1:9" ht="14.25" customHeight="1" x14ac:dyDescent="0.15">
      <c r="A81" s="54" t="s">
        <v>32</v>
      </c>
      <c r="B81" s="55">
        <v>45086</v>
      </c>
      <c r="C81" s="55" t="s">
        <v>60</v>
      </c>
      <c r="D81" s="55">
        <v>15</v>
      </c>
      <c r="E81" s="50"/>
      <c r="F81" s="51"/>
      <c r="G81" s="50"/>
      <c r="H81" s="50"/>
      <c r="I81" s="50"/>
    </row>
    <row r="82" spans="1:9" ht="14.25" customHeight="1" x14ac:dyDescent="0.15">
      <c r="A82" s="52" t="s">
        <v>32</v>
      </c>
      <c r="B82" s="53">
        <v>45084</v>
      </c>
      <c r="C82" s="53" t="s">
        <v>56</v>
      </c>
      <c r="D82" s="53">
        <v>5500</v>
      </c>
      <c r="E82" s="47"/>
      <c r="F82" s="51"/>
      <c r="G82" s="50"/>
      <c r="H82" s="50"/>
      <c r="I82" s="47"/>
    </row>
    <row r="83" spans="1:9" ht="14.25" customHeight="1" x14ac:dyDescent="0.15">
      <c r="A83" s="54" t="s">
        <v>32</v>
      </c>
      <c r="B83" s="55">
        <v>45084</v>
      </c>
      <c r="C83" s="55" t="s">
        <v>58</v>
      </c>
      <c r="D83" s="55">
        <v>1710</v>
      </c>
      <c r="E83" s="50"/>
      <c r="F83" s="51"/>
      <c r="G83" s="50"/>
      <c r="H83" s="50"/>
      <c r="I83" s="50"/>
    </row>
    <row r="84" spans="1:9" ht="14.25" customHeight="1" x14ac:dyDescent="0.15">
      <c r="A84" s="52" t="s">
        <v>32</v>
      </c>
      <c r="B84" s="53">
        <v>45084</v>
      </c>
      <c r="C84" s="53" t="s">
        <v>60</v>
      </c>
      <c r="D84" s="53">
        <v>15</v>
      </c>
      <c r="E84" s="47"/>
      <c r="F84" s="51"/>
      <c r="G84" s="50"/>
      <c r="H84" s="50"/>
      <c r="I84" s="47"/>
    </row>
    <row r="85" spans="1:9" ht="14.25" customHeight="1" x14ac:dyDescent="0.15">
      <c r="A85" s="54" t="s">
        <v>32</v>
      </c>
      <c r="B85" s="55">
        <v>45083</v>
      </c>
      <c r="C85" s="55" t="s">
        <v>60</v>
      </c>
      <c r="D85" s="55">
        <v>15</v>
      </c>
      <c r="E85" s="50"/>
      <c r="F85" s="51"/>
      <c r="G85" s="50"/>
      <c r="H85" s="50"/>
      <c r="I85" s="50"/>
    </row>
    <row r="86" spans="1:9" ht="14.25" customHeight="1" x14ac:dyDescent="0.15">
      <c r="A86" s="52" t="s">
        <v>32</v>
      </c>
      <c r="B86" s="53">
        <v>45083</v>
      </c>
      <c r="C86" s="53" t="s">
        <v>56</v>
      </c>
      <c r="D86" s="53">
        <v>5500</v>
      </c>
      <c r="E86" s="47"/>
      <c r="F86" s="51"/>
      <c r="G86" s="50"/>
      <c r="H86" s="50"/>
      <c r="I86" s="47"/>
    </row>
    <row r="87" spans="1:9" ht="14.25" customHeight="1" x14ac:dyDescent="0.15">
      <c r="A87" s="54" t="s">
        <v>32</v>
      </c>
      <c r="B87" s="55">
        <v>45083</v>
      </c>
      <c r="C87" s="55" t="s">
        <v>56</v>
      </c>
      <c r="D87" s="55">
        <v>5500</v>
      </c>
      <c r="E87" s="50"/>
      <c r="F87" s="51"/>
      <c r="G87" s="50"/>
      <c r="H87" s="50"/>
      <c r="I87" s="50"/>
    </row>
    <row r="88" spans="1:9" ht="14.25" customHeight="1" x14ac:dyDescent="0.15">
      <c r="A88" s="52" t="s">
        <v>32</v>
      </c>
      <c r="B88" s="53">
        <v>45083</v>
      </c>
      <c r="C88" s="53" t="s">
        <v>60</v>
      </c>
      <c r="D88" s="53">
        <v>15</v>
      </c>
      <c r="E88" s="47"/>
      <c r="F88" s="51"/>
      <c r="G88" s="50"/>
      <c r="H88" s="50"/>
      <c r="I88" s="47"/>
    </row>
    <row r="89" spans="1:9" ht="14.25" customHeight="1" x14ac:dyDescent="0.15">
      <c r="A89" s="54" t="s">
        <v>32</v>
      </c>
      <c r="B89" s="55">
        <v>45082</v>
      </c>
      <c r="C89" s="55" t="s">
        <v>56</v>
      </c>
      <c r="D89" s="55">
        <v>5500</v>
      </c>
      <c r="E89" s="50"/>
      <c r="F89" s="51"/>
      <c r="G89" s="50"/>
      <c r="H89" s="50"/>
      <c r="I89" s="50"/>
    </row>
    <row r="90" spans="1:9" ht="14.25" customHeight="1" x14ac:dyDescent="0.15">
      <c r="A90" s="52" t="s">
        <v>32</v>
      </c>
      <c r="B90" s="53">
        <v>45082</v>
      </c>
      <c r="C90" s="53" t="s">
        <v>56</v>
      </c>
      <c r="D90" s="53">
        <v>5500</v>
      </c>
      <c r="E90" s="47"/>
      <c r="F90" s="51"/>
      <c r="G90" s="50"/>
      <c r="H90" s="50"/>
      <c r="I90" s="47"/>
    </row>
    <row r="91" spans="1:9" ht="14.25" customHeight="1" x14ac:dyDescent="0.15">
      <c r="A91" s="54" t="s">
        <v>32</v>
      </c>
      <c r="B91" s="55">
        <v>45082</v>
      </c>
      <c r="C91" s="55" t="s">
        <v>60</v>
      </c>
      <c r="D91" s="55">
        <v>15</v>
      </c>
      <c r="E91" s="50"/>
      <c r="F91" s="51"/>
      <c r="G91" s="50"/>
      <c r="H91" s="50"/>
      <c r="I91" s="50"/>
    </row>
    <row r="92" spans="1:9" ht="14.25" customHeight="1" x14ac:dyDescent="0.15">
      <c r="A92" s="52" t="s">
        <v>32</v>
      </c>
      <c r="B92" s="53">
        <v>45081</v>
      </c>
      <c r="C92" s="53" t="s">
        <v>33</v>
      </c>
      <c r="D92" s="53">
        <v>9.31</v>
      </c>
      <c r="E92" s="47"/>
      <c r="F92" s="51"/>
      <c r="G92" s="50"/>
      <c r="H92" s="50"/>
      <c r="I92" s="47"/>
    </row>
    <row r="93" spans="1:9" ht="14.25" customHeight="1" x14ac:dyDescent="0.15">
      <c r="A93" s="60" t="s">
        <v>10</v>
      </c>
      <c r="B93" s="61"/>
      <c r="C93" s="61"/>
      <c r="D93" s="62">
        <f>SUBTOTAL(109,'CONDITIONAL FXN'!$D$3:$D$92)</f>
        <v>198039.05</v>
      </c>
      <c r="E93" s="50"/>
      <c r="F93" s="51"/>
      <c r="G93" s="50"/>
      <c r="H93" s="50"/>
      <c r="I93" s="50"/>
    </row>
    <row r="94" spans="1:9" ht="14.25" customHeight="1" x14ac:dyDescent="0.15">
      <c r="E94" s="47"/>
      <c r="F94" s="51"/>
      <c r="G94" s="50"/>
      <c r="H94" s="50"/>
      <c r="I94" s="47"/>
    </row>
    <row r="95" spans="1:9" ht="14.25" customHeight="1" x14ac:dyDescent="0.15">
      <c r="E95" s="50"/>
      <c r="F95" s="51"/>
      <c r="G95" s="50"/>
      <c r="H95" s="50"/>
      <c r="I95" s="50"/>
    </row>
    <row r="96" spans="1:9" ht="14.25" customHeight="1" x14ac:dyDescent="0.15">
      <c r="E96" s="47"/>
      <c r="F96" s="51"/>
      <c r="G96" s="50"/>
      <c r="H96" s="50"/>
      <c r="I96" s="47"/>
    </row>
    <row r="97" spans="5:9" ht="14.25" customHeight="1" x14ac:dyDescent="0.15">
      <c r="E97" s="50"/>
      <c r="F97" s="51"/>
      <c r="G97" s="50"/>
      <c r="H97" s="50"/>
      <c r="I97" s="50"/>
    </row>
    <row r="98" spans="5:9" ht="14.25" customHeight="1" x14ac:dyDescent="0.15">
      <c r="E98" s="47"/>
      <c r="F98" s="51"/>
      <c r="G98" s="50"/>
      <c r="H98" s="50"/>
      <c r="I98" s="47"/>
    </row>
    <row r="99" spans="5:9" ht="14.25" customHeight="1" x14ac:dyDescent="0.15">
      <c r="E99" s="63"/>
      <c r="F99" s="51"/>
      <c r="G99" s="50"/>
      <c r="H99" s="50"/>
      <c r="I99" s="64"/>
    </row>
    <row r="100" spans="5:9" ht="14.25" customHeight="1" x14ac:dyDescent="0.15">
      <c r="F100" s="51"/>
      <c r="G100" s="50"/>
      <c r="H100" s="50"/>
    </row>
    <row r="101" spans="5:9" ht="14.25" customHeight="1" x14ac:dyDescent="0.15">
      <c r="F101" s="24"/>
      <c r="G101" s="65"/>
      <c r="H101" s="66"/>
    </row>
    <row r="102" spans="5:9" ht="14.25" customHeight="1" x14ac:dyDescent="0.15"/>
    <row r="103" spans="5:9" ht="14.25" customHeight="1" x14ac:dyDescent="0.15"/>
    <row r="104" spans="5:9" ht="14.25" customHeight="1" x14ac:dyDescent="0.15"/>
    <row r="105" spans="5:9" ht="14.25" customHeight="1" x14ac:dyDescent="0.15"/>
    <row r="106" spans="5:9" ht="14.25" customHeight="1" x14ac:dyDescent="0.15"/>
    <row r="107" spans="5:9" ht="14.25" customHeight="1" x14ac:dyDescent="0.15"/>
    <row r="108" spans="5:9" ht="14.25" customHeight="1" x14ac:dyDescent="0.15"/>
    <row r="109" spans="5:9" ht="14.25" customHeight="1" x14ac:dyDescent="0.15"/>
    <row r="110" spans="5:9" ht="14.25" customHeight="1" x14ac:dyDescent="0.15"/>
    <row r="111" spans="5:9" ht="14.25" customHeight="1" x14ac:dyDescent="0.15"/>
    <row r="112" spans="5:9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B3:B92">
    <cfRule type="expression" dxfId="1" priority="1">
      <formula>AND(YEAR(B3)=YEAR(TODAY()),MONTH(B3)=MONTH(TODAY()))</formula>
    </cfRule>
    <cfRule type="expression" dxfId="0" priority="2">
      <formula>OR(AND(YEAR(B3)=YEAR(TODAY()),MONTH(B3)+1=MONTH(TODAY())),AND(YEAR(B3)+1=YEAR(TODAY()),MONTH(B3)=12,MONTH(TODAY())=1))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95959"/>
  </sheetPr>
  <dimension ref="A1:M1000"/>
  <sheetViews>
    <sheetView workbookViewId="0"/>
  </sheetViews>
  <sheetFormatPr defaultColWidth="12.625" defaultRowHeight="15" customHeight="1" x14ac:dyDescent="0.15"/>
  <cols>
    <col min="1" max="13" width="8.578125" customWidth="1"/>
  </cols>
  <sheetData>
    <row r="1" spans="1:13" ht="14.25" customHeight="1" x14ac:dyDescent="0.15">
      <c r="A1" s="23"/>
      <c r="B1" s="23"/>
      <c r="C1" s="23"/>
      <c r="D1" s="23"/>
      <c r="E1" s="23"/>
      <c r="I1" s="23"/>
      <c r="J1" s="23"/>
      <c r="K1" s="23"/>
      <c r="L1" s="23"/>
      <c r="M1" s="23"/>
    </row>
    <row r="2" spans="1:13" ht="14.25" customHeight="1" x14ac:dyDescent="0.15">
      <c r="A2" s="23"/>
      <c r="B2" s="23"/>
      <c r="C2" s="23"/>
      <c r="D2" s="23"/>
      <c r="E2" s="23"/>
      <c r="I2" s="23"/>
      <c r="J2" s="23"/>
      <c r="K2" s="23"/>
      <c r="L2" s="23"/>
      <c r="M2" s="23"/>
    </row>
    <row r="3" spans="1:13" ht="14.25" customHeight="1" x14ac:dyDescent="0.15">
      <c r="A3" s="23"/>
      <c r="B3" s="23"/>
      <c r="C3" s="23"/>
      <c r="D3" s="23"/>
      <c r="E3" s="23"/>
      <c r="I3" s="23"/>
      <c r="J3" s="23"/>
      <c r="K3" s="23"/>
      <c r="L3" s="23"/>
      <c r="M3" s="23"/>
    </row>
    <row r="4" spans="1:13" ht="14.25" customHeight="1" x14ac:dyDescent="0.15">
      <c r="A4" s="23"/>
      <c r="B4" s="23"/>
      <c r="C4" s="23"/>
      <c r="D4" s="23"/>
      <c r="E4" s="23"/>
      <c r="I4" s="23"/>
      <c r="J4" s="23"/>
      <c r="K4" s="23"/>
      <c r="L4" s="23"/>
      <c r="M4" s="23"/>
    </row>
    <row r="5" spans="1:13" ht="14.25" customHeight="1" x14ac:dyDescent="0.15">
      <c r="A5" s="23"/>
      <c r="B5" s="23"/>
      <c r="C5" s="23"/>
      <c r="D5" s="23"/>
      <c r="E5" s="23"/>
      <c r="I5" s="23"/>
      <c r="J5" s="23"/>
      <c r="K5" s="23"/>
      <c r="L5" s="23"/>
      <c r="M5" s="23"/>
    </row>
    <row r="6" spans="1:13" ht="14.25" customHeight="1" x14ac:dyDescent="0.15">
      <c r="A6" s="23"/>
      <c r="B6" s="23"/>
      <c r="C6" s="23"/>
      <c r="D6" s="23"/>
      <c r="E6" s="23"/>
      <c r="I6" s="23"/>
      <c r="J6" s="23"/>
      <c r="K6" s="23"/>
      <c r="L6" s="23"/>
      <c r="M6" s="23"/>
    </row>
    <row r="7" spans="1:13" ht="14.25" customHeight="1" x14ac:dyDescent="0.15">
      <c r="A7" s="23"/>
      <c r="B7" s="23"/>
      <c r="C7" s="23"/>
      <c r="D7" s="23"/>
      <c r="E7" s="23"/>
      <c r="I7" s="23"/>
      <c r="J7" s="23"/>
      <c r="K7" s="23"/>
      <c r="L7" s="23"/>
      <c r="M7" s="23"/>
    </row>
    <row r="8" spans="1:13" ht="14.25" customHeight="1" x14ac:dyDescent="0.15">
      <c r="A8" s="23"/>
      <c r="B8" s="23"/>
      <c r="C8" s="23"/>
      <c r="D8" s="23"/>
      <c r="E8" s="23"/>
      <c r="I8" s="23"/>
      <c r="J8" s="23"/>
      <c r="K8" s="23"/>
      <c r="L8" s="23"/>
      <c r="M8" s="23"/>
    </row>
    <row r="9" spans="1:13" ht="14.25" customHeight="1" x14ac:dyDescent="0.15">
      <c r="A9" s="23"/>
      <c r="B9" s="23"/>
      <c r="C9" s="23"/>
      <c r="D9" s="23"/>
      <c r="E9" s="23"/>
      <c r="I9" s="23"/>
      <c r="J9" s="23"/>
      <c r="K9" s="23"/>
      <c r="L9" s="23"/>
      <c r="M9" s="23"/>
    </row>
    <row r="10" spans="1:13" ht="14.25" customHeight="1" x14ac:dyDescent="0.15">
      <c r="A10" s="23"/>
      <c r="B10" s="23"/>
      <c r="C10" s="23"/>
      <c r="D10" s="23"/>
      <c r="E10" s="23"/>
      <c r="I10" s="23"/>
      <c r="J10" s="23"/>
      <c r="K10" s="23"/>
      <c r="L10" s="23"/>
      <c r="M10" s="23"/>
    </row>
    <row r="11" spans="1:13" ht="14.25" customHeight="1" x14ac:dyDescent="0.15">
      <c r="A11" s="23"/>
      <c r="B11" s="23"/>
      <c r="C11" s="23"/>
      <c r="D11" s="23"/>
      <c r="E11" s="23"/>
      <c r="I11" s="23"/>
      <c r="J11" s="23"/>
      <c r="K11" s="23"/>
      <c r="L11" s="23"/>
      <c r="M11" s="23"/>
    </row>
    <row r="12" spans="1:13" ht="14.25" customHeight="1" x14ac:dyDescent="0.15">
      <c r="A12" s="23"/>
      <c r="B12" s="23"/>
      <c r="C12" s="23"/>
      <c r="D12" s="23"/>
      <c r="E12" s="23"/>
      <c r="I12" s="23"/>
      <c r="J12" s="23"/>
      <c r="K12" s="23"/>
      <c r="L12" s="23"/>
      <c r="M12" s="23"/>
    </row>
    <row r="13" spans="1:13" ht="14.25" customHeight="1" x14ac:dyDescent="0.15">
      <c r="A13" s="23"/>
      <c r="B13" s="23"/>
      <c r="C13" s="23"/>
      <c r="D13" s="23"/>
      <c r="E13" s="23"/>
      <c r="I13" s="23"/>
      <c r="J13" s="23"/>
      <c r="K13" s="23"/>
      <c r="L13" s="23"/>
      <c r="M13" s="23"/>
    </row>
    <row r="14" spans="1:13" ht="14.25" customHeight="1" x14ac:dyDescent="0.15">
      <c r="A14" s="23"/>
      <c r="B14" s="23"/>
      <c r="C14" s="23"/>
      <c r="D14" s="23"/>
      <c r="E14" s="23"/>
      <c r="I14" s="23"/>
      <c r="J14" s="23"/>
      <c r="K14" s="23"/>
      <c r="L14" s="23"/>
      <c r="M14" s="23"/>
    </row>
    <row r="15" spans="1:13" ht="14.25" customHeight="1" x14ac:dyDescent="0.15">
      <c r="A15" s="23"/>
      <c r="B15" s="23"/>
      <c r="C15" s="23"/>
      <c r="D15" s="23"/>
      <c r="E15" s="23"/>
      <c r="I15" s="23"/>
      <c r="J15" s="23"/>
      <c r="K15" s="23"/>
      <c r="L15" s="23"/>
      <c r="M15" s="23"/>
    </row>
    <row r="16" spans="1:13" ht="14.25" customHeight="1" x14ac:dyDescent="0.15">
      <c r="B16" s="28"/>
      <c r="C16" s="28"/>
      <c r="D16" s="28"/>
    </row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3D0E1"/>
  </sheetPr>
  <dimension ref="A1:I1000"/>
  <sheetViews>
    <sheetView workbookViewId="0"/>
  </sheetViews>
  <sheetFormatPr defaultColWidth="12.625" defaultRowHeight="15" customHeight="1" x14ac:dyDescent="0.15"/>
  <cols>
    <col min="1" max="1" width="34.44921875" customWidth="1"/>
    <col min="2" max="2" width="17.52734375" customWidth="1"/>
    <col min="3" max="3" width="10.41796875" customWidth="1"/>
    <col min="4" max="4" width="19.61328125" customWidth="1"/>
    <col min="5" max="5" width="15.93359375" customWidth="1"/>
    <col min="6" max="6" width="17.40625" customWidth="1"/>
    <col min="7" max="7" width="12.9921875" customWidth="1"/>
    <col min="8" max="9" width="21.0859375" customWidth="1"/>
  </cols>
  <sheetData>
    <row r="1" spans="1:9" ht="14.25" customHeight="1" x14ac:dyDescent="0.15">
      <c r="A1" s="67" t="s">
        <v>7</v>
      </c>
      <c r="B1" s="68" t="s">
        <v>8</v>
      </c>
      <c r="C1" s="68" t="s">
        <v>9</v>
      </c>
      <c r="D1" s="68" t="s">
        <v>130</v>
      </c>
      <c r="E1" s="68" t="s">
        <v>131</v>
      </c>
      <c r="H1" s="24"/>
      <c r="I1" s="24"/>
    </row>
    <row r="2" spans="1:9" ht="14.25" customHeight="1" x14ac:dyDescent="0.15">
      <c r="A2" s="69" t="s">
        <v>132</v>
      </c>
      <c r="B2" s="70">
        <v>45118</v>
      </c>
      <c r="C2" s="70" t="s">
        <v>56</v>
      </c>
      <c r="D2" s="70">
        <v>5500</v>
      </c>
      <c r="E2" s="70" t="e">
        <f t="array" aca="1" ref="E2" ca="1">_xludf.SWITCH('PT AND PC'!$C2,"NGN",'PT AND PC'!$D2,"USD",'PT AND PC'!$D2*1000,"GBP",'PT AND PC'!$D2*1200,"KES",'PT AND PC'!$D2*5.4,"GHS",'PT AND PC'!$D2*80,"XAF",'PT AND PC'!$D2*1.6,"ZAR",'PT AND PC'!$D2*15,"TZS",'PT AND PC'!$D2*0.2,"RWF",'PT AND PC'!$D2*0.4)</f>
        <v>#NAME?</v>
      </c>
      <c r="H2" s="24"/>
      <c r="I2" s="24"/>
    </row>
    <row r="3" spans="1:9" ht="14.25" customHeight="1" x14ac:dyDescent="0.15">
      <c r="A3" s="71" t="s">
        <v>132</v>
      </c>
      <c r="B3" s="72">
        <v>45118</v>
      </c>
      <c r="C3" s="72" t="s">
        <v>60</v>
      </c>
      <c r="D3" s="72">
        <v>15</v>
      </c>
      <c r="E3" s="72" t="e">
        <f t="array" aca="1" ref="E3" ca="1">_xludf.SWITCH('PT AND PC'!$C3,"NGN",'PT AND PC'!$D3,"USD",'PT AND PC'!$D3*1000,"GBP",'PT AND PC'!$D3*1200,"KES",'PT AND PC'!$D3*5.4,"GHS",'PT AND PC'!$D3*80,"XAF",'PT AND PC'!$D3*1.6,"ZAR",'PT AND PC'!$D3*15,"TZS",'PT AND PC'!$D3*0.2,"RWF",'PT AND PC'!$D3*0.4)</f>
        <v>#NAME?</v>
      </c>
    </row>
    <row r="4" spans="1:9" ht="14.25" customHeight="1" x14ac:dyDescent="0.15">
      <c r="A4" s="69" t="s">
        <v>132</v>
      </c>
      <c r="B4" s="70">
        <v>45118</v>
      </c>
      <c r="C4" s="70" t="s">
        <v>57</v>
      </c>
      <c r="D4" s="70">
        <v>4239.28</v>
      </c>
      <c r="E4" s="70" t="e">
        <f t="array" aca="1" ref="E4" ca="1">_xludf.SWITCH('PT AND PC'!$C4,"NGN",'PT AND PC'!$D4,"USD",'PT AND PC'!$D4*1000,"GBP",'PT AND PC'!$D4*1200,"KES",'PT AND PC'!$D4*5.4,"GHS",'PT AND PC'!$D4*80,"XAF",'PT AND PC'!$D4*1.6,"ZAR",'PT AND PC'!$D4*15,"TZS",'PT AND PC'!$D4*0.2,"RWF",'PT AND PC'!$D4*0.4)</f>
        <v>#NAME?</v>
      </c>
    </row>
    <row r="5" spans="1:9" ht="14.25" customHeight="1" x14ac:dyDescent="0.15">
      <c r="A5" s="71" t="s">
        <v>55</v>
      </c>
      <c r="B5" s="72">
        <v>45107</v>
      </c>
      <c r="C5" s="72" t="s">
        <v>30</v>
      </c>
      <c r="D5" s="72">
        <v>59</v>
      </c>
      <c r="E5" s="72" t="e">
        <f t="array" aca="1" ref="E5" ca="1">_xludf.SWITCH('PT AND PC'!$C5,"NGN",'PT AND PC'!$D5,"USD",'PT AND PC'!$D5*1000,"GBP",'PT AND PC'!$D5*1200,"KES",'PT AND PC'!$D5*5.4,"GHS",'PT AND PC'!$D5*80,"XAF",'PT AND PC'!$D5*1.6,"ZAR",'PT AND PC'!$D5*15,"TZS",'PT AND PC'!$D5*0.2,"RWF",'PT AND PC'!$D5*0.4)</f>
        <v>#NAME?</v>
      </c>
    </row>
    <row r="6" spans="1:9" ht="14.25" customHeight="1" x14ac:dyDescent="0.15">
      <c r="A6" s="73" t="s">
        <v>132</v>
      </c>
      <c r="B6" s="74">
        <v>45117</v>
      </c>
      <c r="C6" s="74" t="s">
        <v>56</v>
      </c>
      <c r="D6" s="74">
        <v>5500</v>
      </c>
      <c r="E6" s="74" t="e">
        <f t="array" aca="1" ref="E6" ca="1">_xludf.SWITCH('PT AND PC'!$C6,"NGN",'PT AND PC'!$D6,"USD",'PT AND PC'!$D6*1000,"GBP",'PT AND PC'!$D6*1200,"KES",'PT AND PC'!$D6*5.4,"GHS",'PT AND PC'!$D6*80,"XAF",'PT AND PC'!$D6*1.6,"ZAR",'PT AND PC'!$D6*15,"TZS",'PT AND PC'!$D6*0.2,"RWF",'PT AND PC'!$D6*0.4)</f>
        <v>#NAME?</v>
      </c>
      <c r="F6" s="23"/>
    </row>
    <row r="7" spans="1:9" ht="14.25" customHeight="1" x14ac:dyDescent="0.15">
      <c r="A7" s="71" t="s">
        <v>132</v>
      </c>
      <c r="B7" s="72">
        <v>45117</v>
      </c>
      <c r="C7" s="72" t="s">
        <v>56</v>
      </c>
      <c r="D7" s="72">
        <v>5500</v>
      </c>
      <c r="E7" s="72" t="e">
        <f t="array" aca="1" ref="E7" ca="1">_xludf.SWITCH('PT AND PC'!$C7,"NGN",'PT AND PC'!$D7,"USD",'PT AND PC'!$D7*1000,"GBP",'PT AND PC'!$D7*1200,"KES",'PT AND PC'!$D7*5.4,"GHS",'PT AND PC'!$D7*80,"XAF",'PT AND PC'!$D7*1.6,"ZAR",'PT AND PC'!$D7*15,"TZS",'PT AND PC'!$D7*0.2,"RWF",'PT AND PC'!$D7*0.4)</f>
        <v>#NAME?</v>
      </c>
    </row>
    <row r="8" spans="1:9" ht="14.25" customHeight="1" x14ac:dyDescent="0.15">
      <c r="A8" s="69" t="s">
        <v>132</v>
      </c>
      <c r="B8" s="70">
        <v>45116</v>
      </c>
      <c r="C8" s="70" t="s">
        <v>56</v>
      </c>
      <c r="D8" s="70">
        <v>5500</v>
      </c>
      <c r="E8" s="70" t="e">
        <f t="array" aca="1" ref="E8" ca="1">_xludf.SWITCH('PT AND PC'!$C8,"NGN",'PT AND PC'!$D8,"USD",'PT AND PC'!$D8*1000,"GBP",'PT AND PC'!$D8*1200,"KES",'PT AND PC'!$D8*5.4,"GHS",'PT AND PC'!$D8*80,"XAF",'PT AND PC'!$D8*1.6,"ZAR",'PT AND PC'!$D8*15,"TZS",'PT AND PC'!$D8*0.2,"RWF",'PT AND PC'!$D8*0.4)</f>
        <v>#NAME?</v>
      </c>
    </row>
    <row r="9" spans="1:9" ht="14.25" customHeight="1" x14ac:dyDescent="0.15">
      <c r="A9" s="71" t="s">
        <v>132</v>
      </c>
      <c r="B9" s="72">
        <v>45114</v>
      </c>
      <c r="C9" s="72" t="s">
        <v>56</v>
      </c>
      <c r="D9" s="72">
        <v>5500</v>
      </c>
      <c r="E9" s="72" t="e">
        <f t="array" aca="1" ref="E9" ca="1">_xludf.SWITCH('PT AND PC'!$C9,"NGN",'PT AND PC'!$D9,"USD",'PT AND PC'!$D9*1000,"GBP",'PT AND PC'!$D9*1200,"KES",'PT AND PC'!$D9*5.4,"GHS",'PT AND PC'!$D9*80,"XAF",'PT AND PC'!$D9*1.6,"ZAR",'PT AND PC'!$D9*15,"TZS",'PT AND PC'!$D9*0.2,"RWF",'PT AND PC'!$D9*0.4)</f>
        <v>#NAME?</v>
      </c>
    </row>
    <row r="10" spans="1:9" ht="14.25" customHeight="1" x14ac:dyDescent="0.15">
      <c r="A10" s="69" t="s">
        <v>132</v>
      </c>
      <c r="B10" s="70">
        <v>45112</v>
      </c>
      <c r="C10" s="70" t="s">
        <v>56</v>
      </c>
      <c r="D10" s="70">
        <v>5500</v>
      </c>
      <c r="E10" s="70" t="e">
        <f t="array" aca="1" ref="E10" ca="1">_xludf.SWITCH('PT AND PC'!$C10,"NGN",'PT AND PC'!$D10,"USD",'PT AND PC'!$D10*1000,"GBP",'PT AND PC'!$D10*1200,"KES",'PT AND PC'!$D10*5.4,"GHS",'PT AND PC'!$D10*80,"XAF",'PT AND PC'!$D10*1.6,"ZAR",'PT AND PC'!$D10*15,"TZS",'PT AND PC'!$D10*0.2,"RWF",'PT AND PC'!$D10*0.4)</f>
        <v>#NAME?</v>
      </c>
    </row>
    <row r="11" spans="1:9" ht="14.25" customHeight="1" x14ac:dyDescent="0.15">
      <c r="A11" s="71" t="s">
        <v>132</v>
      </c>
      <c r="B11" s="72">
        <v>45112</v>
      </c>
      <c r="C11" s="72" t="s">
        <v>56</v>
      </c>
      <c r="D11" s="72">
        <v>5500</v>
      </c>
      <c r="E11" s="72" t="e">
        <f t="array" aca="1" ref="E11" ca="1">_xludf.SWITCH('PT AND PC'!$C11,"NGN",'PT AND PC'!$D11,"USD",'PT AND PC'!$D11*1000,"GBP",'PT AND PC'!$D11*1200,"KES",'PT AND PC'!$D11*5.4,"GHS",'PT AND PC'!$D11*80,"XAF",'PT AND PC'!$D11*1.6,"ZAR",'PT AND PC'!$D11*15,"TZS",'PT AND PC'!$D11*0.2,"RWF",'PT AND PC'!$D11*0.4)</f>
        <v>#NAME?</v>
      </c>
    </row>
    <row r="12" spans="1:9" ht="14.25" customHeight="1" x14ac:dyDescent="0.15">
      <c r="A12" s="69" t="s">
        <v>132</v>
      </c>
      <c r="B12" s="70">
        <v>45110</v>
      </c>
      <c r="C12" s="70" t="s">
        <v>56</v>
      </c>
      <c r="D12" s="70">
        <v>5500</v>
      </c>
      <c r="E12" s="70" t="e">
        <f t="array" aca="1" ref="E12" ca="1">_xludf.SWITCH('PT AND PC'!$C12,"NGN",'PT AND PC'!$D12,"USD",'PT AND PC'!$D12*1000,"GBP",'PT AND PC'!$D12*1200,"KES",'PT AND PC'!$D12*5.4,"GHS",'PT AND PC'!$D12*80,"XAF",'PT AND PC'!$D12*1.6,"ZAR",'PT AND PC'!$D12*15,"TZS",'PT AND PC'!$D12*0.2,"RWF",'PT AND PC'!$D12*0.4)</f>
        <v>#NAME?</v>
      </c>
    </row>
    <row r="13" spans="1:9" ht="14.25" customHeight="1" x14ac:dyDescent="0.15">
      <c r="A13" s="71" t="s">
        <v>132</v>
      </c>
      <c r="B13" s="72">
        <v>45109</v>
      </c>
      <c r="C13" s="72" t="s">
        <v>60</v>
      </c>
      <c r="D13" s="72">
        <v>15</v>
      </c>
      <c r="E13" s="72" t="e">
        <f t="array" aca="1" ref="E13" ca="1">_xludf.SWITCH('PT AND PC'!$C13,"NGN",'PT AND PC'!$D13,"USD",'PT AND PC'!$D13*1000,"GBP",'PT AND PC'!$D13*1200,"KES",'PT AND PC'!$D13*5.4,"GHS",'PT AND PC'!$D13*80,"XAF",'PT AND PC'!$D13*1.6,"ZAR",'PT AND PC'!$D13*15,"TZS",'PT AND PC'!$D13*0.2,"RWF",'PT AND PC'!$D13*0.4)</f>
        <v>#NAME?</v>
      </c>
    </row>
    <row r="14" spans="1:9" ht="14.25" customHeight="1" x14ac:dyDescent="0.15">
      <c r="A14" s="69" t="s">
        <v>132</v>
      </c>
      <c r="B14" s="70">
        <v>45109</v>
      </c>
      <c r="C14" s="70" t="s">
        <v>58</v>
      </c>
      <c r="D14" s="70">
        <v>1058</v>
      </c>
      <c r="E14" s="70" t="e">
        <f t="array" aca="1" ref="E14" ca="1">_xludf.SWITCH('PT AND PC'!$C14,"NGN",'PT AND PC'!$D14,"USD",'PT AND PC'!$D14*1000,"GBP",'PT AND PC'!$D14*1200,"KES",'PT AND PC'!$D14*5.4,"GHS",'PT AND PC'!$D14*80,"XAF",'PT AND PC'!$D14*1.6,"ZAR",'PT AND PC'!$D14*15,"TZS",'PT AND PC'!$D14*0.2,"RWF",'PT AND PC'!$D14*0.4)</f>
        <v>#NAME?</v>
      </c>
      <c r="H14" s="24"/>
    </row>
    <row r="15" spans="1:9" ht="14.25" customHeight="1" x14ac:dyDescent="0.15">
      <c r="A15" s="71" t="s">
        <v>132</v>
      </c>
      <c r="B15" s="72">
        <v>45108</v>
      </c>
      <c r="C15" s="72" t="s">
        <v>60</v>
      </c>
      <c r="D15" s="72">
        <v>15</v>
      </c>
      <c r="E15" s="72" t="e">
        <f t="array" aca="1" ref="E15" ca="1">_xludf.SWITCH('PT AND PC'!$C15,"NGN",'PT AND PC'!$D15,"USD",'PT AND PC'!$D15*1000,"GBP",'PT AND PC'!$D15*1200,"KES",'PT AND PC'!$D15*5.4,"GHS",'PT AND PC'!$D15*80,"XAF",'PT AND PC'!$D15*1.6,"ZAR",'PT AND PC'!$D15*15,"TZS",'PT AND PC'!$D15*0.2,"RWF",'PT AND PC'!$D15*0.4)</f>
        <v>#NAME?</v>
      </c>
      <c r="H15" s="24"/>
    </row>
    <row r="16" spans="1:9" ht="14.25" customHeight="1" x14ac:dyDescent="0.15">
      <c r="A16" s="69" t="s">
        <v>132</v>
      </c>
      <c r="B16" s="70">
        <v>45108</v>
      </c>
      <c r="C16" s="70" t="s">
        <v>56</v>
      </c>
      <c r="D16" s="70">
        <v>5500</v>
      </c>
      <c r="E16" s="70" t="e">
        <f t="array" aca="1" ref="E16" ca="1">_xludf.SWITCH('PT AND PC'!$C16,"NGN",'PT AND PC'!$D16,"USD",'PT AND PC'!$D16*1000,"GBP",'PT AND PC'!$D16*1200,"KES",'PT AND PC'!$D16*5.4,"GHS",'PT AND PC'!$D16*80,"XAF",'PT AND PC'!$D16*1.6,"ZAR",'PT AND PC'!$D16*15,"TZS",'PT AND PC'!$D16*0.2,"RWF",'PT AND PC'!$D16*0.4)</f>
        <v>#NAME?</v>
      </c>
      <c r="H16" s="24"/>
    </row>
    <row r="17" spans="1:9" ht="14.25" customHeight="1" x14ac:dyDescent="0.15">
      <c r="A17" s="71" t="s">
        <v>132</v>
      </c>
      <c r="B17" s="72">
        <v>45107</v>
      </c>
      <c r="C17" s="72" t="s">
        <v>56</v>
      </c>
      <c r="D17" s="72">
        <v>5500</v>
      </c>
      <c r="E17" s="72" t="e">
        <f t="array" aca="1" ref="E17" ca="1">_xludf.SWITCH('PT AND PC'!$C17,"NGN",'PT AND PC'!$D17,"USD",'PT AND PC'!$D17*1000,"GBP",'PT AND PC'!$D17*1200,"KES",'PT AND PC'!$D17*5.4,"GHS",'PT AND PC'!$D17*80,"XAF",'PT AND PC'!$D17*1.6,"ZAR",'PT AND PC'!$D17*15,"TZS",'PT AND PC'!$D17*0.2,"RWF",'PT AND PC'!$D17*0.4)</f>
        <v>#NAME?</v>
      </c>
      <c r="H17" s="24"/>
    </row>
    <row r="18" spans="1:9" ht="14.25" customHeight="1" x14ac:dyDescent="0.15">
      <c r="A18" s="69" t="s">
        <v>55</v>
      </c>
      <c r="B18" s="70">
        <v>45107</v>
      </c>
      <c r="C18" s="70" t="s">
        <v>30</v>
      </c>
      <c r="D18" s="70">
        <v>59</v>
      </c>
      <c r="E18" s="70" t="e">
        <f t="array" aca="1" ref="E18" ca="1">_xludf.SWITCH('PT AND PC'!$C18,"NGN",'PT AND PC'!$D18,"USD",'PT AND PC'!$D18*1000,"GBP",'PT AND PC'!$D18*1200,"KES",'PT AND PC'!$D18*5.4,"GHS",'PT AND PC'!$D18*80,"XAF",'PT AND PC'!$D18*1.6,"ZAR",'PT AND PC'!$D18*15,"TZS",'PT AND PC'!$D18*0.2,"RWF",'PT AND PC'!$D18*0.4)</f>
        <v>#NAME?</v>
      </c>
      <c r="H18" s="24"/>
    </row>
    <row r="19" spans="1:9" ht="14.25" customHeight="1" x14ac:dyDescent="0.15">
      <c r="A19" s="71" t="s">
        <v>132</v>
      </c>
      <c r="B19" s="72">
        <v>45093</v>
      </c>
      <c r="C19" s="72" t="s">
        <v>60</v>
      </c>
      <c r="D19" s="72">
        <v>15</v>
      </c>
      <c r="E19" s="72" t="e">
        <f t="array" aca="1" ref="E19" ca="1">_xludf.SWITCH('PT AND PC'!$C19,"NGN",'PT AND PC'!$D19,"USD",'PT AND PC'!$D19*1000,"GBP",'PT AND PC'!$D19*1200,"KES",'PT AND PC'!$D19*5.4,"GHS",'PT AND PC'!$D19*80,"XAF",'PT AND PC'!$D19*1.6,"ZAR",'PT AND PC'!$D19*15,"TZS",'PT AND PC'!$D19*0.2,"RWF",'PT AND PC'!$D19*0.4)</f>
        <v>#NAME?</v>
      </c>
      <c r="H19" s="24"/>
    </row>
    <row r="20" spans="1:9" ht="14.25" customHeight="1" x14ac:dyDescent="0.15">
      <c r="A20" s="69" t="s">
        <v>132</v>
      </c>
      <c r="B20" s="70">
        <v>45093</v>
      </c>
      <c r="C20" s="70" t="s">
        <v>56</v>
      </c>
      <c r="D20" s="70">
        <v>4500.1000000000004</v>
      </c>
      <c r="E20" s="70" t="e">
        <f t="array" aca="1" ref="E20" ca="1">_xludf.SWITCH('PT AND PC'!$C20,"NGN",'PT AND PC'!$D20,"USD",'PT AND PC'!$D20*1000,"GBP",'PT AND PC'!$D20*1200,"KES",'PT AND PC'!$D20*5.4,"GHS",'PT AND PC'!$D20*80,"XAF",'PT AND PC'!$D20*1.6,"ZAR",'PT AND PC'!$D20*15,"TZS",'PT AND PC'!$D20*0.2,"RWF",'PT AND PC'!$D20*0.4)</f>
        <v>#NAME?</v>
      </c>
      <c r="H20" s="24"/>
    </row>
    <row r="21" spans="1:9" ht="14.25" customHeight="1" x14ac:dyDescent="0.15">
      <c r="A21" s="71" t="s">
        <v>132</v>
      </c>
      <c r="B21" s="72">
        <v>45093</v>
      </c>
      <c r="C21" s="72" t="s">
        <v>60</v>
      </c>
      <c r="D21" s="72">
        <v>15</v>
      </c>
      <c r="E21" s="72" t="e">
        <f t="array" aca="1" ref="E21" ca="1">_xludf.SWITCH('PT AND PC'!$C21,"NGN",'PT AND PC'!$D21,"USD",'PT AND PC'!$D21*1000,"GBP",'PT AND PC'!$D21*1200,"KES",'PT AND PC'!$D21*5.4,"GHS",'PT AND PC'!$D21*80,"XAF",'PT AND PC'!$D21*1.6,"ZAR",'PT AND PC'!$D21*15,"TZS",'PT AND PC'!$D21*0.2,"RWF",'PT AND PC'!$D21*0.4)</f>
        <v>#NAME?</v>
      </c>
      <c r="H21" s="24"/>
      <c r="I21" s="24"/>
    </row>
    <row r="22" spans="1:9" ht="14.25" customHeight="1" x14ac:dyDescent="0.15">
      <c r="A22" s="69" t="s">
        <v>132</v>
      </c>
      <c r="B22" s="70">
        <v>45093</v>
      </c>
      <c r="C22" s="70" t="s">
        <v>56</v>
      </c>
      <c r="D22" s="70">
        <v>5500</v>
      </c>
      <c r="E22" s="70" t="e">
        <f t="array" aca="1" ref="E22" ca="1">_xludf.SWITCH('PT AND PC'!$C22,"NGN",'PT AND PC'!$D22,"USD",'PT AND PC'!$D22*1000,"GBP",'PT AND PC'!$D22*1200,"KES",'PT AND PC'!$D22*5.4,"GHS",'PT AND PC'!$D22*80,"XAF",'PT AND PC'!$D22*1.6,"ZAR",'PT AND PC'!$D22*15,"TZS",'PT AND PC'!$D22*0.2,"RWF",'PT AND PC'!$D22*0.4)</f>
        <v>#NAME?</v>
      </c>
      <c r="H22" s="24"/>
      <c r="I22" s="24"/>
    </row>
    <row r="23" spans="1:9" ht="14.25" customHeight="1" x14ac:dyDescent="0.15">
      <c r="A23" s="71" t="s">
        <v>132</v>
      </c>
      <c r="B23" s="72">
        <v>45093</v>
      </c>
      <c r="C23" s="72" t="s">
        <v>56</v>
      </c>
      <c r="D23" s="72">
        <v>5500</v>
      </c>
      <c r="E23" s="72" t="e">
        <f t="array" aca="1" ref="E23" ca="1">_xludf.SWITCH('PT AND PC'!$C23,"NGN",'PT AND PC'!$D23,"USD",'PT AND PC'!$D23*1000,"GBP",'PT AND PC'!$D23*1200,"KES",'PT AND PC'!$D23*5.4,"GHS",'PT AND PC'!$D23*80,"XAF",'PT AND PC'!$D23*1.6,"ZAR",'PT AND PC'!$D23*15,"TZS",'PT AND PC'!$D23*0.2,"RWF",'PT AND PC'!$D23*0.4)</f>
        <v>#NAME?</v>
      </c>
      <c r="H23" s="24"/>
      <c r="I23" s="24"/>
    </row>
    <row r="24" spans="1:9" ht="14.25" customHeight="1" x14ac:dyDescent="0.15">
      <c r="A24" s="69" t="s">
        <v>132</v>
      </c>
      <c r="B24" s="70">
        <v>45093</v>
      </c>
      <c r="C24" s="70" t="s">
        <v>60</v>
      </c>
      <c r="D24" s="70">
        <v>12.27</v>
      </c>
      <c r="E24" s="70" t="e">
        <f t="array" aca="1" ref="E24" ca="1">_xludf.SWITCH('PT AND PC'!$C24,"NGN",'PT AND PC'!$D24,"USD",'PT AND PC'!$D24*1000,"GBP",'PT AND PC'!$D24*1200,"KES",'PT AND PC'!$D24*5.4,"GHS",'PT AND PC'!$D24*80,"XAF",'PT AND PC'!$D24*1.6,"ZAR",'PT AND PC'!$D24*15,"TZS",'PT AND PC'!$D24*0.2,"RWF",'PT AND PC'!$D24*0.4)</f>
        <v>#NAME?</v>
      </c>
      <c r="H24" s="24"/>
      <c r="I24" s="24"/>
    </row>
    <row r="25" spans="1:9" ht="14.25" customHeight="1" x14ac:dyDescent="0.15">
      <c r="A25" s="71" t="s">
        <v>132</v>
      </c>
      <c r="B25" s="72">
        <v>45092</v>
      </c>
      <c r="C25" s="72" t="s">
        <v>56</v>
      </c>
      <c r="D25" s="72">
        <v>4500.1000000000004</v>
      </c>
      <c r="E25" s="72" t="e">
        <f t="array" aca="1" ref="E25" ca="1">_xludf.SWITCH('PT AND PC'!$C25,"NGN",'PT AND PC'!$D25,"USD",'PT AND PC'!$D25*1000,"GBP",'PT AND PC'!$D25*1200,"KES",'PT AND PC'!$D25*5.4,"GHS",'PT AND PC'!$D25*80,"XAF",'PT AND PC'!$D25*1.6,"ZAR",'PT AND PC'!$D25*15,"TZS",'PT AND PC'!$D25*0.2,"RWF",'PT AND PC'!$D25*0.4)</f>
        <v>#NAME?</v>
      </c>
      <c r="H25" s="24"/>
      <c r="I25" s="24"/>
    </row>
    <row r="26" spans="1:9" ht="14.25" customHeight="1" x14ac:dyDescent="0.15">
      <c r="A26" s="69" t="s">
        <v>55</v>
      </c>
      <c r="B26" s="70">
        <v>45092</v>
      </c>
      <c r="C26" s="70" t="s">
        <v>60</v>
      </c>
      <c r="D26" s="70">
        <v>9</v>
      </c>
      <c r="E26" s="70" t="e">
        <f t="array" aca="1" ref="E26" ca="1">_xludf.SWITCH('PT AND PC'!$C26,"NGN",'PT AND PC'!$D26,"USD",'PT AND PC'!$D26*1000,"GBP",'PT AND PC'!$D26*1200,"KES",'PT AND PC'!$D26*5.4,"GHS",'PT AND PC'!$D26*80,"XAF",'PT AND PC'!$D26*1.6,"ZAR",'PT AND PC'!$D26*15,"TZS",'PT AND PC'!$D26*0.2,"RWF",'PT AND PC'!$D26*0.4)</f>
        <v>#NAME?</v>
      </c>
      <c r="H26" s="24"/>
      <c r="I26" s="24"/>
    </row>
    <row r="27" spans="1:9" ht="14.25" customHeight="1" x14ac:dyDescent="0.15">
      <c r="A27" s="71" t="s">
        <v>132</v>
      </c>
      <c r="B27" s="72">
        <v>45091</v>
      </c>
      <c r="C27" s="72" t="s">
        <v>56</v>
      </c>
      <c r="D27" s="72">
        <v>5500</v>
      </c>
      <c r="E27" s="72" t="e">
        <f t="array" aca="1" ref="E27" ca="1">_xludf.SWITCH('PT AND PC'!$C27,"NGN",'PT AND PC'!$D27,"USD",'PT AND PC'!$D27*1000,"GBP",'PT AND PC'!$D27*1200,"KES",'PT AND PC'!$D27*5.4,"GHS",'PT AND PC'!$D27*80,"XAF",'PT AND PC'!$D27*1.6,"ZAR",'PT AND PC'!$D27*15,"TZS",'PT AND PC'!$D27*0.2,"RWF",'PT AND PC'!$D27*0.4)</f>
        <v>#NAME?</v>
      </c>
      <c r="H27" s="24"/>
      <c r="I27" s="24"/>
    </row>
    <row r="28" spans="1:9" ht="14.25" customHeight="1" x14ac:dyDescent="0.15">
      <c r="A28" s="69" t="s">
        <v>132</v>
      </c>
      <c r="B28" s="70">
        <v>45091</v>
      </c>
      <c r="C28" s="70" t="s">
        <v>56</v>
      </c>
      <c r="D28" s="70">
        <v>5500</v>
      </c>
      <c r="E28" s="70" t="e">
        <f t="array" aca="1" ref="E28" ca="1">_xludf.SWITCH('PT AND PC'!$C28,"NGN",'PT AND PC'!$D28,"USD",'PT AND PC'!$D28*1000,"GBP",'PT AND PC'!$D28*1200,"KES",'PT AND PC'!$D28*5.4,"GHS",'PT AND PC'!$D28*80,"XAF",'PT AND PC'!$D28*1.6,"ZAR",'PT AND PC'!$D28*15,"TZS",'PT AND PC'!$D28*0.2,"RWF",'PT AND PC'!$D28*0.4)</f>
        <v>#NAME?</v>
      </c>
      <c r="H28" s="24"/>
      <c r="I28" s="24"/>
    </row>
    <row r="29" spans="1:9" ht="14.25" customHeight="1" x14ac:dyDescent="0.15">
      <c r="A29" s="71" t="s">
        <v>132</v>
      </c>
      <c r="B29" s="72">
        <v>45090</v>
      </c>
      <c r="C29" s="72" t="s">
        <v>58</v>
      </c>
      <c r="D29" s="72">
        <v>1255</v>
      </c>
      <c r="E29" s="72" t="e">
        <f t="array" aca="1" ref="E29" ca="1">_xludf.SWITCH('PT AND PC'!$C29,"NGN",'PT AND PC'!$D29,"USD",'PT AND PC'!$D29*1000,"GBP",'PT AND PC'!$D29*1200,"KES",'PT AND PC'!$D29*5.4,"GHS",'PT AND PC'!$D29*80,"XAF",'PT AND PC'!$D29*1.6,"ZAR",'PT AND PC'!$D29*15,"TZS",'PT AND PC'!$D29*0.2,"RWF",'PT AND PC'!$D29*0.4)</f>
        <v>#NAME?</v>
      </c>
      <c r="H29" s="24"/>
      <c r="I29" s="24"/>
    </row>
    <row r="30" spans="1:9" ht="14.25" customHeight="1" x14ac:dyDescent="0.15">
      <c r="A30" s="69" t="s">
        <v>132</v>
      </c>
      <c r="B30" s="70">
        <v>45089</v>
      </c>
      <c r="C30" s="70" t="s">
        <v>56</v>
      </c>
      <c r="D30" s="70">
        <v>5500</v>
      </c>
      <c r="E30" s="70" t="e">
        <f t="array" aca="1" ref="E30" ca="1">_xludf.SWITCH('PT AND PC'!$C30,"NGN",'PT AND PC'!$D30,"USD",'PT AND PC'!$D30*1000,"GBP",'PT AND PC'!$D30*1200,"KES",'PT AND PC'!$D30*5.4,"GHS",'PT AND PC'!$D30*80,"XAF",'PT AND PC'!$D30*1.6,"ZAR",'PT AND PC'!$D30*15,"TZS",'PT AND PC'!$D30*0.2,"RWF",'PT AND PC'!$D30*0.4)</f>
        <v>#NAME?</v>
      </c>
      <c r="H30" s="24"/>
      <c r="I30" s="24"/>
    </row>
    <row r="31" spans="1:9" ht="14.25" customHeight="1" x14ac:dyDescent="0.15">
      <c r="A31" s="71" t="s">
        <v>55</v>
      </c>
      <c r="B31" s="72">
        <v>45089</v>
      </c>
      <c r="C31" s="72" t="s">
        <v>33</v>
      </c>
      <c r="D31" s="72">
        <v>4.1900000000000004</v>
      </c>
      <c r="E31" s="72" t="e">
        <f t="array" aca="1" ref="E31" ca="1">_xludf.SWITCH('PT AND PC'!$C31,"NGN",'PT AND PC'!$D31,"USD",'PT AND PC'!$D31*1000,"GBP",'PT AND PC'!$D31*1200,"KES",'PT AND PC'!$D31*5.4,"GHS",'PT AND PC'!$D31*80,"XAF",'PT AND PC'!$D31*1.6,"ZAR",'PT AND PC'!$D31*15,"TZS",'PT AND PC'!$D31*0.2,"RWF",'PT AND PC'!$D31*0.4)</f>
        <v>#NAME?</v>
      </c>
      <c r="H31" s="24"/>
      <c r="I31" s="24"/>
    </row>
    <row r="32" spans="1:9" ht="14.25" customHeight="1" x14ac:dyDescent="0.15">
      <c r="A32" s="69" t="s">
        <v>55</v>
      </c>
      <c r="B32" s="70">
        <v>45089</v>
      </c>
      <c r="C32" s="70" t="s">
        <v>56</v>
      </c>
      <c r="D32" s="70">
        <v>2500</v>
      </c>
      <c r="E32" s="70" t="e">
        <f t="array" aca="1" ref="E32" ca="1">_xludf.SWITCH('PT AND PC'!$C32,"NGN",'PT AND PC'!$D32,"USD",'PT AND PC'!$D32*1000,"GBP",'PT AND PC'!$D32*1200,"KES",'PT AND PC'!$D32*5.4,"GHS",'PT AND PC'!$D32*80,"XAF",'PT AND PC'!$D32*1.6,"ZAR",'PT AND PC'!$D32*15,"TZS",'PT AND PC'!$D32*0.2,"RWF",'PT AND PC'!$D32*0.4)</f>
        <v>#NAME?</v>
      </c>
      <c r="H32" s="24"/>
      <c r="I32" s="24"/>
    </row>
    <row r="33" spans="1:9" ht="14.25" customHeight="1" x14ac:dyDescent="0.15">
      <c r="A33" s="71" t="s">
        <v>55</v>
      </c>
      <c r="B33" s="72">
        <v>45089</v>
      </c>
      <c r="C33" s="72" t="s">
        <v>56</v>
      </c>
      <c r="D33" s="72">
        <v>2500</v>
      </c>
      <c r="E33" s="72" t="e">
        <f t="array" aca="1" ref="E33" ca="1">_xludf.SWITCH('PT AND PC'!$C33,"NGN",'PT AND PC'!$D33,"USD",'PT AND PC'!$D33*1000,"GBP",'PT AND PC'!$D33*1200,"KES",'PT AND PC'!$D33*5.4,"GHS",'PT AND PC'!$D33*80,"XAF",'PT AND PC'!$D33*1.6,"ZAR",'PT AND PC'!$D33*15,"TZS",'PT AND PC'!$D33*0.2,"RWF",'PT AND PC'!$D33*0.4)</f>
        <v>#NAME?</v>
      </c>
      <c r="H33" s="24"/>
      <c r="I33" s="24"/>
    </row>
    <row r="34" spans="1:9" ht="14.25" customHeight="1" x14ac:dyDescent="0.15">
      <c r="A34" s="69" t="s">
        <v>55</v>
      </c>
      <c r="B34" s="70">
        <v>45089</v>
      </c>
      <c r="C34" s="70" t="s">
        <v>56</v>
      </c>
      <c r="D34" s="70">
        <v>3500</v>
      </c>
      <c r="E34" s="70" t="e">
        <f t="array" aca="1" ref="E34" ca="1">_xludf.SWITCH('PT AND PC'!$C34,"NGN",'PT AND PC'!$D34,"USD",'PT AND PC'!$D34*1000,"GBP",'PT AND PC'!$D34*1200,"KES",'PT AND PC'!$D34*5.4,"GHS",'PT AND PC'!$D34*80,"XAF",'PT AND PC'!$D34*1.6,"ZAR",'PT AND PC'!$D34*15,"TZS",'PT AND PC'!$D34*0.2,"RWF",'PT AND PC'!$D34*0.4)</f>
        <v>#NAME?</v>
      </c>
      <c r="H34" s="24"/>
      <c r="I34" s="24"/>
    </row>
    <row r="35" spans="1:9" ht="14.25" customHeight="1" x14ac:dyDescent="0.15">
      <c r="A35" s="71" t="s">
        <v>132</v>
      </c>
      <c r="B35" s="72">
        <v>45088</v>
      </c>
      <c r="C35" s="72" t="s">
        <v>60</v>
      </c>
      <c r="D35" s="72">
        <v>15</v>
      </c>
      <c r="E35" s="72" t="e">
        <f t="array" aca="1" ref="E35" ca="1">_xludf.SWITCH('PT AND PC'!$C35,"NGN",'PT AND PC'!$D35,"USD",'PT AND PC'!$D35*1000,"GBP",'PT AND PC'!$D35*1200,"KES",'PT AND PC'!$D35*5.4,"GHS",'PT AND PC'!$D35*80,"XAF",'PT AND PC'!$D35*1.6,"ZAR",'PT AND PC'!$D35*15,"TZS",'PT AND PC'!$D35*0.2,"RWF",'PT AND PC'!$D35*0.4)</f>
        <v>#NAME?</v>
      </c>
      <c r="H35" s="24"/>
      <c r="I35" s="24"/>
    </row>
    <row r="36" spans="1:9" ht="14.25" customHeight="1" x14ac:dyDescent="0.15">
      <c r="A36" s="69" t="s">
        <v>132</v>
      </c>
      <c r="B36" s="70">
        <v>45089</v>
      </c>
      <c r="C36" s="70" t="s">
        <v>56</v>
      </c>
      <c r="D36" s="70">
        <v>5500</v>
      </c>
      <c r="E36" s="70" t="e">
        <f t="array" aca="1" ref="E36" ca="1">_xludf.SWITCH('PT AND PC'!$C36,"NGN",'PT AND PC'!$D36,"USD",'PT AND PC'!$D36*1000,"GBP",'PT AND PC'!$D36*1200,"KES",'PT AND PC'!$D36*5.4,"GHS",'PT AND PC'!$D36*80,"XAF",'PT AND PC'!$D36*1.6,"ZAR",'PT AND PC'!$D36*15,"TZS",'PT AND PC'!$D36*0.2,"RWF",'PT AND PC'!$D36*0.4)</f>
        <v>#NAME?</v>
      </c>
      <c r="H36" s="24"/>
      <c r="I36" s="24"/>
    </row>
    <row r="37" spans="1:9" ht="14.25" customHeight="1" x14ac:dyDescent="0.15">
      <c r="A37" s="71" t="s">
        <v>132</v>
      </c>
      <c r="B37" s="72">
        <v>45088</v>
      </c>
      <c r="C37" s="72" t="s">
        <v>56</v>
      </c>
      <c r="D37" s="72">
        <v>5500</v>
      </c>
      <c r="E37" s="72" t="e">
        <f t="array" aca="1" ref="E37" ca="1">_xludf.SWITCH('PT AND PC'!$C37,"NGN",'PT AND PC'!$D37,"USD",'PT AND PC'!$D37*1000,"GBP",'PT AND PC'!$D37*1200,"KES",'PT AND PC'!$D37*5.4,"GHS",'PT AND PC'!$D37*80,"XAF",'PT AND PC'!$D37*1.6,"ZAR",'PT AND PC'!$D37*15,"TZS",'PT AND PC'!$D37*0.2,"RWF",'PT AND PC'!$D37*0.4)</f>
        <v>#NAME?</v>
      </c>
      <c r="H37" s="24"/>
      <c r="I37" s="24"/>
    </row>
    <row r="38" spans="1:9" ht="14.25" customHeight="1" x14ac:dyDescent="0.15">
      <c r="A38" s="69" t="s">
        <v>132</v>
      </c>
      <c r="B38" s="70">
        <v>45088</v>
      </c>
      <c r="C38" s="70" t="s">
        <v>56</v>
      </c>
      <c r="D38" s="70">
        <v>5500</v>
      </c>
      <c r="E38" s="70" t="e">
        <f t="array" aca="1" ref="E38" ca="1">_xludf.SWITCH('PT AND PC'!$C38,"NGN",'PT AND PC'!$D38,"USD",'PT AND PC'!$D38*1000,"GBP",'PT AND PC'!$D38*1200,"KES",'PT AND PC'!$D38*5.4,"GHS",'PT AND PC'!$D38*80,"XAF",'PT AND PC'!$D38*1.6,"ZAR",'PT AND PC'!$D38*15,"TZS",'PT AND PC'!$D38*0.2,"RWF",'PT AND PC'!$D38*0.4)</f>
        <v>#NAME?</v>
      </c>
      <c r="H38" s="24"/>
      <c r="I38" s="24"/>
    </row>
    <row r="39" spans="1:9" ht="14.25" customHeight="1" x14ac:dyDescent="0.15">
      <c r="A39" s="71" t="s">
        <v>132</v>
      </c>
      <c r="B39" s="72">
        <v>45088</v>
      </c>
      <c r="C39" s="72" t="s">
        <v>60</v>
      </c>
      <c r="D39" s="72">
        <v>15</v>
      </c>
      <c r="E39" s="72" t="e">
        <f t="array" aca="1" ref="E39" ca="1">_xludf.SWITCH('PT AND PC'!$C39,"NGN",'PT AND PC'!$D39,"USD",'PT AND PC'!$D39*1000,"GBP",'PT AND PC'!$D39*1200,"KES",'PT AND PC'!$D39*5.4,"GHS",'PT AND PC'!$D39*80,"XAF",'PT AND PC'!$D39*1.6,"ZAR",'PT AND PC'!$D39*15,"TZS",'PT AND PC'!$D39*0.2,"RWF",'PT AND PC'!$D39*0.4)</f>
        <v>#NAME?</v>
      </c>
      <c r="H39" s="24"/>
      <c r="I39" s="24"/>
    </row>
    <row r="40" spans="1:9" ht="14.25" customHeight="1" x14ac:dyDescent="0.15">
      <c r="A40" s="69" t="s">
        <v>132</v>
      </c>
      <c r="B40" s="70">
        <v>45088</v>
      </c>
      <c r="C40" s="70" t="s">
        <v>56</v>
      </c>
      <c r="D40" s="70">
        <v>5500</v>
      </c>
      <c r="E40" s="70" t="e">
        <f t="array" aca="1" ref="E40" ca="1">_xludf.SWITCH('PT AND PC'!$C40,"NGN",'PT AND PC'!$D40,"USD",'PT AND PC'!$D40*1000,"GBP",'PT AND PC'!$D40*1200,"KES",'PT AND PC'!$D40*5.4,"GHS",'PT AND PC'!$D40*80,"XAF",'PT AND PC'!$D40*1.6,"ZAR",'PT AND PC'!$D40*15,"TZS",'PT AND PC'!$D40*0.2,"RWF",'PT AND PC'!$D40*0.4)</f>
        <v>#NAME?</v>
      </c>
      <c r="H40" s="24"/>
      <c r="I40" s="24"/>
    </row>
    <row r="41" spans="1:9" ht="14.25" customHeight="1" x14ac:dyDescent="0.15">
      <c r="A41" s="71" t="s">
        <v>132</v>
      </c>
      <c r="B41" s="72">
        <v>45088</v>
      </c>
      <c r="C41" s="72" t="s">
        <v>33</v>
      </c>
      <c r="D41" s="72">
        <v>9.24</v>
      </c>
      <c r="E41" s="72" t="e">
        <f t="array" aca="1" ref="E41" ca="1">_xludf.SWITCH('PT AND PC'!$C41,"NGN",'PT AND PC'!$D41,"USD",'PT AND PC'!$D41*1000,"GBP",'PT AND PC'!$D41*1200,"KES",'PT AND PC'!$D41*5.4,"GHS",'PT AND PC'!$D41*80,"XAF",'PT AND PC'!$D41*1.6,"ZAR",'PT AND PC'!$D41*15,"TZS",'PT AND PC'!$D41*0.2,"RWF",'PT AND PC'!$D41*0.4)</f>
        <v>#NAME?</v>
      </c>
      <c r="H41" s="24"/>
      <c r="I41" s="24"/>
    </row>
    <row r="42" spans="1:9" ht="14.25" customHeight="1" x14ac:dyDescent="0.15">
      <c r="A42" s="69" t="s">
        <v>132</v>
      </c>
      <c r="B42" s="70">
        <v>45088</v>
      </c>
      <c r="C42" s="70" t="s">
        <v>56</v>
      </c>
      <c r="D42" s="70">
        <v>5500</v>
      </c>
      <c r="E42" s="70" t="e">
        <f t="array" aca="1" ref="E42" ca="1">_xludf.SWITCH('PT AND PC'!$C42,"NGN",'PT AND PC'!$D42,"USD",'PT AND PC'!$D42*1000,"GBP",'PT AND PC'!$D42*1200,"KES",'PT AND PC'!$D42*5.4,"GHS",'PT AND PC'!$D42*80,"XAF",'PT AND PC'!$D42*1.6,"ZAR",'PT AND PC'!$D42*15,"TZS",'PT AND PC'!$D42*0.2,"RWF",'PT AND PC'!$D42*0.4)</f>
        <v>#NAME?</v>
      </c>
      <c r="H42" s="24"/>
      <c r="I42" s="24"/>
    </row>
    <row r="43" spans="1:9" ht="14.25" customHeight="1" x14ac:dyDescent="0.15">
      <c r="A43" s="71" t="s">
        <v>132</v>
      </c>
      <c r="B43" s="72">
        <v>45088</v>
      </c>
      <c r="C43" s="72" t="s">
        <v>56</v>
      </c>
      <c r="D43" s="72">
        <v>5500</v>
      </c>
      <c r="E43" s="72" t="e">
        <f t="array" aca="1" ref="E43" ca="1">_xludf.SWITCH('PT AND PC'!$C43,"NGN",'PT AND PC'!$D43,"USD",'PT AND PC'!$D43*1000,"GBP",'PT AND PC'!$D43*1200,"KES",'PT AND PC'!$D43*5.4,"GHS",'PT AND PC'!$D43*80,"XAF",'PT AND PC'!$D43*1.6,"ZAR",'PT AND PC'!$D43*15,"TZS",'PT AND PC'!$D43*0.2,"RWF",'PT AND PC'!$D43*0.4)</f>
        <v>#NAME?</v>
      </c>
      <c r="H43" s="24"/>
      <c r="I43" s="24"/>
    </row>
    <row r="44" spans="1:9" ht="14.25" customHeight="1" x14ac:dyDescent="0.15">
      <c r="A44" s="69" t="s">
        <v>132</v>
      </c>
      <c r="B44" s="70">
        <v>45088</v>
      </c>
      <c r="C44" s="70" t="s">
        <v>56</v>
      </c>
      <c r="D44" s="70">
        <v>5500</v>
      </c>
      <c r="E44" s="70" t="e">
        <f t="array" aca="1" ref="E44" ca="1">_xludf.SWITCH('PT AND PC'!$C44,"NGN",'PT AND PC'!$D44,"USD",'PT AND PC'!$D44*1000,"GBP",'PT AND PC'!$D44*1200,"KES",'PT AND PC'!$D44*5.4,"GHS",'PT AND PC'!$D44*80,"XAF",'PT AND PC'!$D44*1.6,"ZAR",'PT AND PC'!$D44*15,"TZS",'PT AND PC'!$D44*0.2,"RWF",'PT AND PC'!$D44*0.4)</f>
        <v>#NAME?</v>
      </c>
      <c r="H44" s="24"/>
      <c r="I44" s="24"/>
    </row>
    <row r="45" spans="1:9" ht="14.25" customHeight="1" x14ac:dyDescent="0.15">
      <c r="A45" s="71" t="s">
        <v>132</v>
      </c>
      <c r="B45" s="72">
        <v>45088</v>
      </c>
      <c r="C45" s="72" t="s">
        <v>56</v>
      </c>
      <c r="D45" s="72">
        <v>5500</v>
      </c>
      <c r="E45" s="72" t="e">
        <f t="array" aca="1" ref="E45" ca="1">_xludf.SWITCH('PT AND PC'!$C45,"NGN",'PT AND PC'!$D45,"USD",'PT AND PC'!$D45*1000,"GBP",'PT AND PC'!$D45*1200,"KES",'PT AND PC'!$D45*5.4,"GHS",'PT AND PC'!$D45*80,"XAF",'PT AND PC'!$D45*1.6,"ZAR",'PT AND PC'!$D45*15,"TZS",'PT AND PC'!$D45*0.2,"RWF",'PT AND PC'!$D45*0.4)</f>
        <v>#NAME?</v>
      </c>
      <c r="H45" s="24"/>
      <c r="I45" s="24"/>
    </row>
    <row r="46" spans="1:9" ht="14.25" customHeight="1" x14ac:dyDescent="0.15">
      <c r="A46" s="69" t="s">
        <v>132</v>
      </c>
      <c r="B46" s="70">
        <v>45088</v>
      </c>
      <c r="C46" s="70" t="s">
        <v>60</v>
      </c>
      <c r="D46" s="70">
        <v>15</v>
      </c>
      <c r="E46" s="70" t="e">
        <f t="array" aca="1" ref="E46" ca="1">_xludf.SWITCH('PT AND PC'!$C46,"NGN",'PT AND PC'!$D46,"USD",'PT AND PC'!$D46*1000,"GBP",'PT AND PC'!$D46*1200,"KES",'PT AND PC'!$D46*5.4,"GHS",'PT AND PC'!$D46*80,"XAF",'PT AND PC'!$D46*1.6,"ZAR",'PT AND PC'!$D46*15,"TZS",'PT AND PC'!$D46*0.2,"RWF",'PT AND PC'!$D46*0.4)</f>
        <v>#NAME?</v>
      </c>
      <c r="H46" s="24"/>
      <c r="I46" s="24"/>
    </row>
    <row r="47" spans="1:9" ht="14.25" customHeight="1" x14ac:dyDescent="0.15">
      <c r="A47" s="71" t="s">
        <v>132</v>
      </c>
      <c r="B47" s="72">
        <v>45062</v>
      </c>
      <c r="C47" s="72" t="s">
        <v>56</v>
      </c>
      <c r="D47" s="72">
        <v>5500</v>
      </c>
      <c r="E47" s="72" t="e">
        <f t="array" aca="1" ref="E47" ca="1">_xludf.SWITCH('PT AND PC'!$C47,"NGN",'PT AND PC'!$D47,"USD",'PT AND PC'!$D47*1000,"GBP",'PT AND PC'!$D47*1200,"KES",'PT AND PC'!$D47*5.4,"GHS",'PT AND PC'!$D47*80,"XAF",'PT AND PC'!$D47*1.6,"ZAR",'PT AND PC'!$D47*15,"TZS",'PT AND PC'!$D47*0.2,"RWF",'PT AND PC'!$D47*0.4)</f>
        <v>#NAME?</v>
      </c>
      <c r="H47" s="24"/>
      <c r="I47" s="24"/>
    </row>
    <row r="48" spans="1:9" ht="14.25" customHeight="1" x14ac:dyDescent="0.15">
      <c r="A48" s="69" t="s">
        <v>132</v>
      </c>
      <c r="B48" s="70">
        <v>45061</v>
      </c>
      <c r="C48" s="70" t="s">
        <v>33</v>
      </c>
      <c r="D48" s="70">
        <v>9.3000000000000007</v>
      </c>
      <c r="E48" s="70" t="e">
        <f t="array" aca="1" ref="E48" ca="1">_xludf.SWITCH('PT AND PC'!$C48,"NGN",'PT AND PC'!$D48,"USD",'PT AND PC'!$D48*1000,"GBP",'PT AND PC'!$D48*1200,"KES",'PT AND PC'!$D48*5.4,"GHS",'PT AND PC'!$D48*80,"XAF",'PT AND PC'!$D48*1.6,"ZAR",'PT AND PC'!$D48*15,"TZS",'PT AND PC'!$D48*0.2,"RWF",'PT AND PC'!$D48*0.4)</f>
        <v>#NAME?</v>
      </c>
      <c r="H48" s="24"/>
      <c r="I48" s="24"/>
    </row>
    <row r="49" spans="1:9" ht="14.25" customHeight="1" x14ac:dyDescent="0.15">
      <c r="A49" s="71" t="s">
        <v>132</v>
      </c>
      <c r="B49" s="72">
        <v>45061</v>
      </c>
      <c r="C49" s="72" t="s">
        <v>57</v>
      </c>
      <c r="D49" s="72">
        <v>7171.38</v>
      </c>
      <c r="E49" s="72" t="e">
        <f t="array" aca="1" ref="E49" ca="1">_xludf.SWITCH('PT AND PC'!$C49,"NGN",'PT AND PC'!$D49,"USD",'PT AND PC'!$D49*1000,"GBP",'PT AND PC'!$D49*1200,"KES",'PT AND PC'!$D49*5.4,"GHS",'PT AND PC'!$D49*80,"XAF",'PT AND PC'!$D49*1.6,"ZAR",'PT AND PC'!$D49*15,"TZS",'PT AND PC'!$D49*0.2,"RWF",'PT AND PC'!$D49*0.4)</f>
        <v>#NAME?</v>
      </c>
      <c r="H49" s="24"/>
      <c r="I49" s="24"/>
    </row>
    <row r="50" spans="1:9" ht="14.25" customHeight="1" x14ac:dyDescent="0.15">
      <c r="A50" s="69" t="s">
        <v>132</v>
      </c>
      <c r="B50" s="70">
        <v>45061</v>
      </c>
      <c r="C50" s="70" t="s">
        <v>60</v>
      </c>
      <c r="D50" s="70">
        <v>14</v>
      </c>
      <c r="E50" s="70" t="e">
        <f t="array" aca="1" ref="E50" ca="1">_xludf.SWITCH('PT AND PC'!$C50,"NGN",'PT AND PC'!$D50,"USD",'PT AND PC'!$D50*1000,"GBP",'PT AND PC'!$D50*1200,"KES",'PT AND PC'!$D50*5.4,"GHS",'PT AND PC'!$D50*80,"XAF",'PT AND PC'!$D50*1.6,"ZAR",'PT AND PC'!$D50*15,"TZS",'PT AND PC'!$D50*0.2,"RWF",'PT AND PC'!$D50*0.4)</f>
        <v>#NAME?</v>
      </c>
      <c r="H50" s="24"/>
      <c r="I50" s="24"/>
    </row>
    <row r="51" spans="1:9" ht="14.25" customHeight="1" x14ac:dyDescent="0.15">
      <c r="A51" s="71" t="s">
        <v>132</v>
      </c>
      <c r="B51" s="72">
        <v>45061</v>
      </c>
      <c r="C51" s="72" t="s">
        <v>56</v>
      </c>
      <c r="D51" s="72">
        <v>5500</v>
      </c>
      <c r="E51" s="72" t="e">
        <f t="array" aca="1" ref="E51" ca="1">_xludf.SWITCH('PT AND PC'!$C51,"NGN",'PT AND PC'!$D51,"USD",'PT AND PC'!$D51*1000,"GBP",'PT AND PC'!$D51*1200,"KES",'PT AND PC'!$D51*5.4,"GHS",'PT AND PC'!$D51*80,"XAF",'PT AND PC'!$D51*1.6,"ZAR",'PT AND PC'!$D51*15,"TZS",'PT AND PC'!$D51*0.2,"RWF",'PT AND PC'!$D51*0.4)</f>
        <v>#NAME?</v>
      </c>
      <c r="H51" s="24"/>
      <c r="I51" s="24"/>
    </row>
    <row r="52" spans="1:9" ht="14.25" customHeight="1" x14ac:dyDescent="0.15">
      <c r="A52" s="69" t="s">
        <v>132</v>
      </c>
      <c r="B52" s="70">
        <v>45061</v>
      </c>
      <c r="C52" s="70" t="s">
        <v>60</v>
      </c>
      <c r="D52" s="70">
        <v>14</v>
      </c>
      <c r="E52" s="70" t="e">
        <f t="array" aca="1" ref="E52" ca="1">_xludf.SWITCH('PT AND PC'!$C52,"NGN",'PT AND PC'!$D52,"USD",'PT AND PC'!$D52*1000,"GBP",'PT AND PC'!$D52*1200,"KES",'PT AND PC'!$D52*5.4,"GHS",'PT AND PC'!$D52*80,"XAF",'PT AND PC'!$D52*1.6,"ZAR",'PT AND PC'!$D52*15,"TZS",'PT AND PC'!$D52*0.2,"RWF",'PT AND PC'!$D52*0.4)</f>
        <v>#NAME?</v>
      </c>
      <c r="H52" s="24"/>
      <c r="I52" s="24"/>
    </row>
    <row r="53" spans="1:9" ht="14.25" customHeight="1" x14ac:dyDescent="0.15">
      <c r="A53" s="71" t="s">
        <v>132</v>
      </c>
      <c r="B53" s="72">
        <v>45061</v>
      </c>
      <c r="C53" s="72" t="s">
        <v>58</v>
      </c>
      <c r="D53" s="72">
        <v>1691</v>
      </c>
      <c r="E53" s="72" t="e">
        <f t="array" aca="1" ref="E53" ca="1">_xludf.SWITCH('PT AND PC'!$C53,"NGN",'PT AND PC'!$D53,"USD",'PT AND PC'!$D53*1000,"GBP",'PT AND PC'!$D53*1200,"KES",'PT AND PC'!$D53*5.4,"GHS",'PT AND PC'!$D53*80,"XAF",'PT AND PC'!$D53*1.6,"ZAR",'PT AND PC'!$D53*15,"TZS",'PT AND PC'!$D53*0.2,"RWF",'PT AND PC'!$D53*0.4)</f>
        <v>#NAME?</v>
      </c>
      <c r="H53" s="24"/>
      <c r="I53" s="24"/>
    </row>
    <row r="54" spans="1:9" ht="14.25" customHeight="1" x14ac:dyDescent="0.15">
      <c r="A54" s="69" t="s">
        <v>132</v>
      </c>
      <c r="B54" s="70">
        <v>45061</v>
      </c>
      <c r="C54" s="70" t="s">
        <v>56</v>
      </c>
      <c r="D54" s="70">
        <v>5500</v>
      </c>
      <c r="E54" s="70" t="e">
        <f t="array" aca="1" ref="E54" ca="1">_xludf.SWITCH('PT AND PC'!$C54,"NGN",'PT AND PC'!$D54,"USD",'PT AND PC'!$D54*1000,"GBP",'PT AND PC'!$D54*1200,"KES",'PT AND PC'!$D54*5.4,"GHS",'PT AND PC'!$D54*80,"XAF",'PT AND PC'!$D54*1.6,"ZAR",'PT AND PC'!$D54*15,"TZS",'PT AND PC'!$D54*0.2,"RWF",'PT AND PC'!$D54*0.4)</f>
        <v>#NAME?</v>
      </c>
      <c r="H54" s="24"/>
      <c r="I54" s="24"/>
    </row>
    <row r="55" spans="1:9" ht="14.25" customHeight="1" x14ac:dyDescent="0.15">
      <c r="A55" s="71" t="s">
        <v>132</v>
      </c>
      <c r="B55" s="72">
        <v>45061</v>
      </c>
      <c r="C55" s="72" t="s">
        <v>60</v>
      </c>
      <c r="D55" s="72">
        <v>14</v>
      </c>
      <c r="E55" s="72" t="e">
        <f t="array" aca="1" ref="E55" ca="1">_xludf.SWITCH('PT AND PC'!$C55,"NGN",'PT AND PC'!$D55,"USD",'PT AND PC'!$D55*1000,"GBP",'PT AND PC'!$D55*1200,"KES",'PT AND PC'!$D55*5.4,"GHS",'PT AND PC'!$D55*80,"XAF",'PT AND PC'!$D55*1.6,"ZAR",'PT AND PC'!$D55*15,"TZS",'PT AND PC'!$D55*0.2,"RWF",'PT AND PC'!$D55*0.4)</f>
        <v>#NAME?</v>
      </c>
      <c r="H55" s="24"/>
      <c r="I55" s="24"/>
    </row>
    <row r="56" spans="1:9" ht="14.25" customHeight="1" x14ac:dyDescent="0.15">
      <c r="A56" s="69" t="s">
        <v>132</v>
      </c>
      <c r="B56" s="70">
        <v>45061</v>
      </c>
      <c r="C56" s="70" t="s">
        <v>56</v>
      </c>
      <c r="D56" s="70">
        <v>5500</v>
      </c>
      <c r="E56" s="70" t="e">
        <f t="array" aca="1" ref="E56" ca="1">_xludf.SWITCH('PT AND PC'!$C56,"NGN",'PT AND PC'!$D56,"USD",'PT AND PC'!$D56*1000,"GBP",'PT AND PC'!$D56*1200,"KES",'PT AND PC'!$D56*5.4,"GHS",'PT AND PC'!$D56*80,"XAF",'PT AND PC'!$D56*1.6,"ZAR",'PT AND PC'!$D56*15,"TZS",'PT AND PC'!$D56*0.2,"RWF",'PT AND PC'!$D56*0.4)</f>
        <v>#NAME?</v>
      </c>
      <c r="H56" s="24"/>
      <c r="I56" s="24"/>
    </row>
    <row r="57" spans="1:9" ht="14.25" customHeight="1" x14ac:dyDescent="0.15">
      <c r="A57" s="71" t="s">
        <v>132</v>
      </c>
      <c r="B57" s="72">
        <v>45060</v>
      </c>
      <c r="C57" s="72" t="s">
        <v>30</v>
      </c>
      <c r="D57" s="72">
        <v>154</v>
      </c>
      <c r="E57" s="72" t="e">
        <f t="array" aca="1" ref="E57" ca="1">_xludf.SWITCH('PT AND PC'!$C57,"NGN",'PT AND PC'!$D57,"USD",'PT AND PC'!$D57*1000,"GBP",'PT AND PC'!$D57*1200,"KES",'PT AND PC'!$D57*5.4,"GHS",'PT AND PC'!$D57*80,"XAF",'PT AND PC'!$D57*1.6,"ZAR",'PT AND PC'!$D57*15,"TZS",'PT AND PC'!$D57*0.2,"RWF",'PT AND PC'!$D57*0.4)</f>
        <v>#NAME?</v>
      </c>
      <c r="H57" s="24"/>
      <c r="I57" s="24"/>
    </row>
    <row r="58" spans="1:9" ht="14.25" customHeight="1" x14ac:dyDescent="0.15">
      <c r="A58" s="69" t="s">
        <v>132</v>
      </c>
      <c r="B58" s="70">
        <v>45060</v>
      </c>
      <c r="C58" s="70" t="s">
        <v>56</v>
      </c>
      <c r="D58" s="70">
        <v>5500</v>
      </c>
      <c r="E58" s="70" t="e">
        <f t="array" aca="1" ref="E58" ca="1">_xludf.SWITCH('PT AND PC'!$C58,"NGN",'PT AND PC'!$D58,"USD",'PT AND PC'!$D58*1000,"GBP",'PT AND PC'!$D58*1200,"KES",'PT AND PC'!$D58*5.4,"GHS",'PT AND PC'!$D58*80,"XAF",'PT AND PC'!$D58*1.6,"ZAR",'PT AND PC'!$D58*15,"TZS",'PT AND PC'!$D58*0.2,"RWF",'PT AND PC'!$D58*0.4)</f>
        <v>#NAME?</v>
      </c>
      <c r="H58" s="24"/>
      <c r="I58" s="24"/>
    </row>
    <row r="59" spans="1:9" ht="14.25" customHeight="1" x14ac:dyDescent="0.15">
      <c r="A59" s="71" t="s">
        <v>132</v>
      </c>
      <c r="B59" s="72">
        <v>45060</v>
      </c>
      <c r="C59" s="72" t="s">
        <v>60</v>
      </c>
      <c r="D59" s="72">
        <v>14</v>
      </c>
      <c r="E59" s="72" t="e">
        <f t="array" aca="1" ref="E59" ca="1">_xludf.SWITCH('PT AND PC'!$C59,"NGN",'PT AND PC'!$D59,"USD",'PT AND PC'!$D59*1000,"GBP",'PT AND PC'!$D59*1200,"KES",'PT AND PC'!$D59*5.4,"GHS",'PT AND PC'!$D59*80,"XAF",'PT AND PC'!$D59*1.6,"ZAR",'PT AND PC'!$D59*15,"TZS",'PT AND PC'!$D59*0.2,"RWF",'PT AND PC'!$D59*0.4)</f>
        <v>#NAME?</v>
      </c>
      <c r="H59" s="24"/>
      <c r="I59" s="24"/>
    </row>
    <row r="60" spans="1:9" ht="14.25" customHeight="1" x14ac:dyDescent="0.15">
      <c r="A60" s="69" t="s">
        <v>132</v>
      </c>
      <c r="B60" s="70">
        <v>45060</v>
      </c>
      <c r="C60" s="70" t="s">
        <v>60</v>
      </c>
      <c r="D60" s="70">
        <v>14</v>
      </c>
      <c r="E60" s="70" t="e">
        <f t="array" aca="1" ref="E60" ca="1">_xludf.SWITCH('PT AND PC'!$C60,"NGN",'PT AND PC'!$D60,"USD",'PT AND PC'!$D60*1000,"GBP",'PT AND PC'!$D60*1200,"KES",'PT AND PC'!$D60*5.4,"GHS",'PT AND PC'!$D60*80,"XAF",'PT AND PC'!$D60*1.6,"ZAR",'PT AND PC'!$D60*15,"TZS",'PT AND PC'!$D60*0.2,"RWF",'PT AND PC'!$D60*0.4)</f>
        <v>#NAME?</v>
      </c>
      <c r="H60" s="24"/>
      <c r="I60" s="24"/>
    </row>
    <row r="61" spans="1:9" ht="14.25" customHeight="1" x14ac:dyDescent="0.15">
      <c r="A61" s="71" t="s">
        <v>132</v>
      </c>
      <c r="B61" s="72">
        <v>45060</v>
      </c>
      <c r="C61" s="72" t="s">
        <v>60</v>
      </c>
      <c r="D61" s="72">
        <v>14</v>
      </c>
      <c r="E61" s="72" t="e">
        <f t="array" aca="1" ref="E61" ca="1">_xludf.SWITCH('PT AND PC'!$C61,"NGN",'PT AND PC'!$D61,"USD",'PT AND PC'!$D61*1000,"GBP",'PT AND PC'!$D61*1200,"KES",'PT AND PC'!$D61*5.4,"GHS",'PT AND PC'!$D61*80,"XAF",'PT AND PC'!$D61*1.6,"ZAR",'PT AND PC'!$D61*15,"TZS",'PT AND PC'!$D61*0.2,"RWF",'PT AND PC'!$D61*0.4)</f>
        <v>#NAME?</v>
      </c>
      <c r="H61" s="24"/>
      <c r="I61" s="24"/>
    </row>
    <row r="62" spans="1:9" ht="14.25" customHeight="1" x14ac:dyDescent="0.15">
      <c r="A62" s="69" t="s">
        <v>132</v>
      </c>
      <c r="B62" s="70">
        <v>45060</v>
      </c>
      <c r="C62" s="70" t="s">
        <v>56</v>
      </c>
      <c r="D62" s="70">
        <v>5500</v>
      </c>
      <c r="E62" s="70" t="e">
        <f t="array" aca="1" ref="E62" ca="1">_xludf.SWITCH('PT AND PC'!$C62,"NGN",'PT AND PC'!$D62,"USD",'PT AND PC'!$D62*1000,"GBP",'PT AND PC'!$D62*1200,"KES",'PT AND PC'!$D62*5.4,"GHS",'PT AND PC'!$D62*80,"XAF",'PT AND PC'!$D62*1.6,"ZAR",'PT AND PC'!$D62*15,"TZS",'PT AND PC'!$D62*0.2,"RWF",'PT AND PC'!$D62*0.4)</f>
        <v>#NAME?</v>
      </c>
      <c r="H62" s="24"/>
      <c r="I62" s="24"/>
    </row>
    <row r="63" spans="1:9" ht="14.25" customHeight="1" x14ac:dyDescent="0.15">
      <c r="A63" s="71" t="s">
        <v>132</v>
      </c>
      <c r="B63" s="72">
        <v>45060</v>
      </c>
      <c r="C63" s="72" t="s">
        <v>56</v>
      </c>
      <c r="D63" s="72">
        <v>5500</v>
      </c>
      <c r="E63" s="72" t="e">
        <f t="array" aca="1" ref="E63" ca="1">_xludf.SWITCH('PT AND PC'!$C63,"NGN",'PT AND PC'!$D63,"USD",'PT AND PC'!$D63*1000,"GBP",'PT AND PC'!$D63*1200,"KES",'PT AND PC'!$D63*5.4,"GHS",'PT AND PC'!$D63*80,"XAF",'PT AND PC'!$D63*1.6,"ZAR",'PT AND PC'!$D63*15,"TZS",'PT AND PC'!$D63*0.2,"RWF",'PT AND PC'!$D63*0.4)</f>
        <v>#NAME?</v>
      </c>
      <c r="H63" s="24"/>
      <c r="I63" s="24"/>
    </row>
    <row r="64" spans="1:9" ht="14.25" customHeight="1" x14ac:dyDescent="0.15">
      <c r="A64" s="69" t="s">
        <v>132</v>
      </c>
      <c r="B64" s="70">
        <v>45060</v>
      </c>
      <c r="C64" s="70" t="s">
        <v>59</v>
      </c>
      <c r="D64" s="70">
        <v>229.93</v>
      </c>
      <c r="E64" s="70" t="e">
        <f t="array" aca="1" ref="E64" ca="1">_xludf.SWITCH('PT AND PC'!$C64,"NGN",'PT AND PC'!$D64,"USD",'PT AND PC'!$D64*1000,"GBP",'PT AND PC'!$D64*1200,"KES",'PT AND PC'!$D64*5.4,"GHS",'PT AND PC'!$D64*80,"XAF",'PT AND PC'!$D64*1.6,"ZAR",'PT AND PC'!$D64*15,"TZS",'PT AND PC'!$D64*0.2,"RWF",'PT AND PC'!$D64*0.4)</f>
        <v>#NAME?</v>
      </c>
      <c r="H64" s="24"/>
      <c r="I64" s="24"/>
    </row>
    <row r="65" spans="1:9" ht="14.25" customHeight="1" x14ac:dyDescent="0.15">
      <c r="A65" s="71" t="s">
        <v>132</v>
      </c>
      <c r="B65" s="72">
        <v>45060</v>
      </c>
      <c r="C65" s="72" t="s">
        <v>56</v>
      </c>
      <c r="D65" s="72">
        <v>5500</v>
      </c>
      <c r="E65" s="72" t="e">
        <f t="array" aca="1" ref="E65" ca="1">_xludf.SWITCH('PT AND PC'!$C65,"NGN",'PT AND PC'!$D65,"USD",'PT AND PC'!$D65*1000,"GBP",'PT AND PC'!$D65*1200,"KES",'PT AND PC'!$D65*5.4,"GHS",'PT AND PC'!$D65*80,"XAF",'PT AND PC'!$D65*1.6,"ZAR",'PT AND PC'!$D65*15,"TZS",'PT AND PC'!$D65*0.2,"RWF",'PT AND PC'!$D65*0.4)</f>
        <v>#NAME?</v>
      </c>
      <c r="H65" s="24"/>
      <c r="I65" s="24"/>
    </row>
    <row r="66" spans="1:9" ht="14.25" customHeight="1" x14ac:dyDescent="0.15">
      <c r="A66" s="69" t="s">
        <v>132</v>
      </c>
      <c r="B66" s="70">
        <v>45060</v>
      </c>
      <c r="C66" s="70" t="s">
        <v>56</v>
      </c>
      <c r="D66" s="70">
        <v>5500</v>
      </c>
      <c r="E66" s="70" t="e">
        <f t="array" aca="1" ref="E66" ca="1">_xludf.SWITCH('PT AND PC'!$C66,"NGN",'PT AND PC'!$D66,"USD",'PT AND PC'!$D66*1000,"GBP",'PT AND PC'!$D66*1200,"KES",'PT AND PC'!$D66*5.4,"GHS",'PT AND PC'!$D66*80,"XAF",'PT AND PC'!$D66*1.6,"ZAR",'PT AND PC'!$D66*15,"TZS",'PT AND PC'!$D66*0.2,"RWF",'PT AND PC'!$D66*0.4)</f>
        <v>#NAME?</v>
      </c>
      <c r="H66" s="24"/>
      <c r="I66" s="24"/>
    </row>
    <row r="67" spans="1:9" ht="14.25" customHeight="1" x14ac:dyDescent="0.15">
      <c r="A67" s="71" t="s">
        <v>132</v>
      </c>
      <c r="B67" s="72">
        <v>45060</v>
      </c>
      <c r="C67" s="72" t="s">
        <v>56</v>
      </c>
      <c r="D67" s="72">
        <v>5500</v>
      </c>
      <c r="E67" s="72" t="e">
        <f t="array" aca="1" ref="E67" ca="1">_xludf.SWITCH('PT AND PC'!$C67,"NGN",'PT AND PC'!$D67,"USD",'PT AND PC'!$D67*1000,"GBP",'PT AND PC'!$D67*1200,"KES",'PT AND PC'!$D67*5.4,"GHS",'PT AND PC'!$D67*80,"XAF",'PT AND PC'!$D67*1.6,"ZAR",'PT AND PC'!$D67*15,"TZS",'PT AND PC'!$D67*0.2,"RWF",'PT AND PC'!$D67*0.4)</f>
        <v>#NAME?</v>
      </c>
      <c r="H67" s="24"/>
      <c r="I67" s="24"/>
    </row>
    <row r="68" spans="1:9" ht="14.25" customHeight="1" x14ac:dyDescent="0.15">
      <c r="A68" s="69" t="s">
        <v>132</v>
      </c>
      <c r="B68" s="70">
        <v>45059</v>
      </c>
      <c r="C68" s="70" t="s">
        <v>33</v>
      </c>
      <c r="D68" s="70">
        <v>9.32</v>
      </c>
      <c r="E68" s="70" t="e">
        <f t="array" aca="1" ref="E68" ca="1">_xludf.SWITCH('PT AND PC'!$C68,"NGN",'PT AND PC'!$D68,"USD",'PT AND PC'!$D68*1000,"GBP",'PT AND PC'!$D68*1200,"KES",'PT AND PC'!$D68*5.4,"GHS",'PT AND PC'!$D68*80,"XAF",'PT AND PC'!$D68*1.6,"ZAR",'PT AND PC'!$D68*15,"TZS",'PT AND PC'!$D68*0.2,"RWF",'PT AND PC'!$D68*0.4)</f>
        <v>#NAME?</v>
      </c>
      <c r="H68" s="24"/>
      <c r="I68" s="24"/>
    </row>
    <row r="69" spans="1:9" ht="14.25" customHeight="1" x14ac:dyDescent="0.15">
      <c r="A69" s="71" t="s">
        <v>132</v>
      </c>
      <c r="B69" s="72">
        <v>45059</v>
      </c>
      <c r="C69" s="72" t="s">
        <v>56</v>
      </c>
      <c r="D69" s="72">
        <v>5500</v>
      </c>
      <c r="E69" s="72" t="e">
        <f t="array" aca="1" ref="E69" ca="1">_xludf.SWITCH('PT AND PC'!$C69,"NGN",'PT AND PC'!$D69,"USD",'PT AND PC'!$D69*1000,"GBP",'PT AND PC'!$D69*1200,"KES",'PT AND PC'!$D69*5.4,"GHS",'PT AND PC'!$D69*80,"XAF",'PT AND PC'!$D69*1.6,"ZAR",'PT AND PC'!$D69*15,"TZS",'PT AND PC'!$D69*0.2,"RWF",'PT AND PC'!$D69*0.4)</f>
        <v>#NAME?</v>
      </c>
      <c r="H69" s="24"/>
      <c r="I69" s="24"/>
    </row>
    <row r="70" spans="1:9" ht="14.25" customHeight="1" x14ac:dyDescent="0.15">
      <c r="A70" s="69" t="s">
        <v>132</v>
      </c>
      <c r="B70" s="70">
        <v>45059</v>
      </c>
      <c r="C70" s="70" t="s">
        <v>56</v>
      </c>
      <c r="D70" s="70">
        <v>5500</v>
      </c>
      <c r="E70" s="70" t="e">
        <f t="array" aca="1" ref="E70" ca="1">_xludf.SWITCH('PT AND PC'!$C70,"NGN",'PT AND PC'!$D70,"USD",'PT AND PC'!$D70*1000,"GBP",'PT AND PC'!$D70*1200,"KES",'PT AND PC'!$D70*5.4,"GHS",'PT AND PC'!$D70*80,"XAF",'PT AND PC'!$D70*1.6,"ZAR",'PT AND PC'!$D70*15,"TZS",'PT AND PC'!$D70*0.2,"RWF",'PT AND PC'!$D70*0.4)</f>
        <v>#NAME?</v>
      </c>
      <c r="H70" s="24"/>
      <c r="I70" s="24"/>
    </row>
    <row r="71" spans="1:9" ht="14.25" customHeight="1" x14ac:dyDescent="0.15">
      <c r="A71" s="71" t="s">
        <v>132</v>
      </c>
      <c r="B71" s="72">
        <v>45059</v>
      </c>
      <c r="C71" s="72" t="s">
        <v>33</v>
      </c>
      <c r="D71" s="72">
        <v>9.32</v>
      </c>
      <c r="E71" s="72" t="e">
        <f t="array" aca="1" ref="E71" ca="1">_xludf.SWITCH('PT AND PC'!$C71,"NGN",'PT AND PC'!$D71,"USD",'PT AND PC'!$D71*1000,"GBP",'PT AND PC'!$D71*1200,"KES",'PT AND PC'!$D71*5.4,"GHS",'PT AND PC'!$D71*80,"XAF",'PT AND PC'!$D71*1.6,"ZAR",'PT AND PC'!$D71*15,"TZS",'PT AND PC'!$D71*0.2,"RWF",'PT AND PC'!$D71*0.4)</f>
        <v>#NAME?</v>
      </c>
      <c r="H71" s="24"/>
      <c r="I71" s="24"/>
    </row>
    <row r="72" spans="1:9" ht="14.25" customHeight="1" x14ac:dyDescent="0.15">
      <c r="A72" s="69" t="s">
        <v>132</v>
      </c>
      <c r="B72" s="70">
        <v>45059</v>
      </c>
      <c r="C72" s="70" t="s">
        <v>56</v>
      </c>
      <c r="D72" s="70">
        <v>5500</v>
      </c>
      <c r="E72" s="70" t="e">
        <f t="array" aca="1" ref="E72" ca="1">_xludf.SWITCH('PT AND PC'!$C72,"NGN",'PT AND PC'!$D72,"USD",'PT AND PC'!$D72*1000,"GBP",'PT AND PC'!$D72*1200,"KES",'PT AND PC'!$D72*5.4,"GHS",'PT AND PC'!$D72*80,"XAF",'PT AND PC'!$D72*1.6,"ZAR",'PT AND PC'!$D72*15,"TZS",'PT AND PC'!$D72*0.2,"RWF",'PT AND PC'!$D72*0.4)</f>
        <v>#NAME?</v>
      </c>
      <c r="H72" s="24"/>
      <c r="I72" s="24"/>
    </row>
    <row r="73" spans="1:9" ht="14.25" customHeight="1" x14ac:dyDescent="0.15">
      <c r="A73" s="71" t="s">
        <v>132</v>
      </c>
      <c r="B73" s="72">
        <v>45059</v>
      </c>
      <c r="C73" s="72" t="s">
        <v>56</v>
      </c>
      <c r="D73" s="72">
        <v>5500</v>
      </c>
      <c r="E73" s="72" t="e">
        <f t="array" aca="1" ref="E73" ca="1">_xludf.SWITCH('PT AND PC'!$C73,"NGN",'PT AND PC'!$D73,"USD",'PT AND PC'!$D73*1000,"GBP",'PT AND PC'!$D73*1200,"KES",'PT AND PC'!$D73*5.4,"GHS",'PT AND PC'!$D73*80,"XAF",'PT AND PC'!$D73*1.6,"ZAR",'PT AND PC'!$D73*15,"TZS",'PT AND PC'!$D73*0.2,"RWF",'PT AND PC'!$D73*0.4)</f>
        <v>#NAME?</v>
      </c>
      <c r="H73" s="24"/>
      <c r="I73" s="24"/>
    </row>
    <row r="74" spans="1:9" ht="14.25" customHeight="1" x14ac:dyDescent="0.15">
      <c r="A74" s="69" t="s">
        <v>132</v>
      </c>
      <c r="B74" s="70">
        <v>45059</v>
      </c>
      <c r="C74" s="70" t="s">
        <v>33</v>
      </c>
      <c r="D74" s="70">
        <v>9.32</v>
      </c>
      <c r="E74" s="70" t="e">
        <f t="array" aca="1" ref="E74" ca="1">_xludf.SWITCH('PT AND PC'!$C74,"NGN",'PT AND PC'!$D74,"USD",'PT AND PC'!$D74*1000,"GBP",'PT AND PC'!$D74*1200,"KES",'PT AND PC'!$D74*5.4,"GHS",'PT AND PC'!$D74*80,"XAF",'PT AND PC'!$D74*1.6,"ZAR",'PT AND PC'!$D74*15,"TZS",'PT AND PC'!$D74*0.2,"RWF",'PT AND PC'!$D74*0.4)</f>
        <v>#NAME?</v>
      </c>
      <c r="H74" s="24"/>
      <c r="I74" s="24"/>
    </row>
    <row r="75" spans="1:9" ht="14.25" customHeight="1" x14ac:dyDescent="0.15">
      <c r="A75" s="71" t="s">
        <v>132</v>
      </c>
      <c r="B75" s="72">
        <v>45059</v>
      </c>
      <c r="C75" s="72" t="s">
        <v>56</v>
      </c>
      <c r="D75" s="72">
        <v>5500</v>
      </c>
      <c r="E75" s="72" t="e">
        <f t="array" aca="1" ref="E75" ca="1">_xludf.SWITCH('PT AND PC'!$C75,"NGN",'PT AND PC'!$D75,"USD",'PT AND PC'!$D75*1000,"GBP",'PT AND PC'!$D75*1200,"KES",'PT AND PC'!$D75*5.4,"GHS",'PT AND PC'!$D75*80,"XAF",'PT AND PC'!$D75*1.6,"ZAR",'PT AND PC'!$D75*15,"TZS",'PT AND PC'!$D75*0.2,"RWF",'PT AND PC'!$D75*0.4)</f>
        <v>#NAME?</v>
      </c>
      <c r="H75" s="24"/>
      <c r="I75" s="24"/>
    </row>
    <row r="76" spans="1:9" ht="14.25" customHeight="1" x14ac:dyDescent="0.15">
      <c r="A76" s="69" t="s">
        <v>132</v>
      </c>
      <c r="B76" s="70">
        <v>45059</v>
      </c>
      <c r="C76" s="70" t="s">
        <v>60</v>
      </c>
      <c r="D76" s="70">
        <v>14</v>
      </c>
      <c r="E76" s="70" t="e">
        <f t="array" aca="1" ref="E76" ca="1">_xludf.SWITCH('PT AND PC'!$C76,"NGN",'PT AND PC'!$D76,"USD",'PT AND PC'!$D76*1000,"GBP",'PT AND PC'!$D76*1200,"KES",'PT AND PC'!$D76*5.4,"GHS",'PT AND PC'!$D76*80,"XAF",'PT AND PC'!$D76*1.6,"ZAR",'PT AND PC'!$D76*15,"TZS",'PT AND PC'!$D76*0.2,"RWF",'PT AND PC'!$D76*0.4)</f>
        <v>#NAME?</v>
      </c>
      <c r="H76" s="24"/>
      <c r="I76" s="24"/>
    </row>
    <row r="77" spans="1:9" ht="14.25" customHeight="1" x14ac:dyDescent="0.15">
      <c r="A77" s="71" t="s">
        <v>132</v>
      </c>
      <c r="B77" s="72">
        <v>45059</v>
      </c>
      <c r="C77" s="72" t="s">
        <v>56</v>
      </c>
      <c r="D77" s="72">
        <v>5500</v>
      </c>
      <c r="E77" s="72" t="e">
        <f t="array" aca="1" ref="E77" ca="1">_xludf.SWITCH('PT AND PC'!$C77,"NGN",'PT AND PC'!$D77,"USD",'PT AND PC'!$D77*1000,"GBP",'PT AND PC'!$D77*1200,"KES",'PT AND PC'!$D77*5.4,"GHS",'PT AND PC'!$D77*80,"XAF",'PT AND PC'!$D77*1.6,"ZAR",'PT AND PC'!$D77*15,"TZS",'PT AND PC'!$D77*0.2,"RWF",'PT AND PC'!$D77*0.4)</f>
        <v>#NAME?</v>
      </c>
      <c r="H77" s="24"/>
      <c r="I77" s="24"/>
    </row>
    <row r="78" spans="1:9" ht="14.25" customHeight="1" x14ac:dyDescent="0.15">
      <c r="A78" s="69" t="s">
        <v>132</v>
      </c>
      <c r="B78" s="70">
        <v>45059</v>
      </c>
      <c r="C78" s="70" t="s">
        <v>33</v>
      </c>
      <c r="D78" s="70">
        <v>9.32</v>
      </c>
      <c r="E78" s="70" t="e">
        <f t="array" aca="1" ref="E78" ca="1">_xludf.SWITCH('PT AND PC'!$C78,"NGN",'PT AND PC'!$D78,"USD",'PT AND PC'!$D78*1000,"GBP",'PT AND PC'!$D78*1200,"KES",'PT AND PC'!$D78*5.4,"GHS",'PT AND PC'!$D78*80,"XAF",'PT AND PC'!$D78*1.6,"ZAR",'PT AND PC'!$D78*15,"TZS",'PT AND PC'!$D78*0.2,"RWF",'PT AND PC'!$D78*0.4)</f>
        <v>#NAME?</v>
      </c>
      <c r="H78" s="24"/>
      <c r="I78" s="24"/>
    </row>
    <row r="79" spans="1:9" ht="14.25" customHeight="1" x14ac:dyDescent="0.15">
      <c r="A79" s="71" t="s">
        <v>132</v>
      </c>
      <c r="B79" s="72">
        <v>45059</v>
      </c>
      <c r="C79" s="72" t="s">
        <v>56</v>
      </c>
      <c r="D79" s="72">
        <v>5500</v>
      </c>
      <c r="E79" s="72" t="e">
        <f t="array" aca="1" ref="E79" ca="1">_xludf.SWITCH('PT AND PC'!$C79,"NGN",'PT AND PC'!$D79,"USD",'PT AND PC'!$D79*1000,"GBP",'PT AND PC'!$D79*1200,"KES",'PT AND PC'!$D79*5.4,"GHS",'PT AND PC'!$D79*80,"XAF",'PT AND PC'!$D79*1.6,"ZAR",'PT AND PC'!$D79*15,"TZS",'PT AND PC'!$D79*0.2,"RWF",'PT AND PC'!$D79*0.4)</f>
        <v>#NAME?</v>
      </c>
      <c r="H79" s="24"/>
      <c r="I79" s="24"/>
    </row>
    <row r="80" spans="1:9" ht="14.25" customHeight="1" x14ac:dyDescent="0.15">
      <c r="A80" s="69" t="s">
        <v>132</v>
      </c>
      <c r="B80" s="70">
        <v>45059</v>
      </c>
      <c r="C80" s="70" t="s">
        <v>56</v>
      </c>
      <c r="D80" s="70">
        <v>5500</v>
      </c>
      <c r="E80" s="70" t="e">
        <f t="array" aca="1" ref="E80" ca="1">_xludf.SWITCH('PT AND PC'!$C80,"NGN",'PT AND PC'!$D80,"USD",'PT AND PC'!$D80*1000,"GBP",'PT AND PC'!$D80*1200,"KES",'PT AND PC'!$D80*5.4,"GHS",'PT AND PC'!$D80*80,"XAF",'PT AND PC'!$D80*1.6,"ZAR",'PT AND PC'!$D80*15,"TZS",'PT AND PC'!$D80*0.2,"RWF",'PT AND PC'!$D80*0.4)</f>
        <v>#NAME?</v>
      </c>
      <c r="H80" s="24"/>
      <c r="I80" s="24"/>
    </row>
    <row r="81" spans="1:9" ht="14.25" customHeight="1" x14ac:dyDescent="0.15">
      <c r="A81" s="71" t="s">
        <v>132</v>
      </c>
      <c r="B81" s="72">
        <v>45058</v>
      </c>
      <c r="C81" s="72" t="s">
        <v>56</v>
      </c>
      <c r="D81" s="72">
        <v>5500</v>
      </c>
      <c r="E81" s="72" t="e">
        <f t="array" aca="1" ref="E81" ca="1">_xludf.SWITCH('PT AND PC'!$C81,"NGN",'PT AND PC'!$D81,"USD",'PT AND PC'!$D81*1000,"GBP",'PT AND PC'!$D81*1200,"KES",'PT AND PC'!$D81*5.4,"GHS",'PT AND PC'!$D81*80,"XAF",'PT AND PC'!$D81*1.6,"ZAR",'PT AND PC'!$D81*15,"TZS",'PT AND PC'!$D81*0.2,"RWF",'PT AND PC'!$D81*0.4)</f>
        <v>#NAME?</v>
      </c>
      <c r="H81" s="24"/>
      <c r="I81" s="24"/>
    </row>
    <row r="82" spans="1:9" ht="14.25" customHeight="1" x14ac:dyDescent="0.15">
      <c r="A82" s="69" t="s">
        <v>132</v>
      </c>
      <c r="B82" s="70">
        <v>45058</v>
      </c>
      <c r="C82" s="70" t="s">
        <v>56</v>
      </c>
      <c r="D82" s="70">
        <v>5500</v>
      </c>
      <c r="E82" s="70" t="e">
        <f t="array" aca="1" ref="E82" ca="1">_xludf.SWITCH('PT AND PC'!$C82,"NGN",'PT AND PC'!$D82,"USD",'PT AND PC'!$D82*1000,"GBP",'PT AND PC'!$D82*1200,"KES",'PT AND PC'!$D82*5.4,"GHS",'PT AND PC'!$D82*80,"XAF",'PT AND PC'!$D82*1.6,"ZAR",'PT AND PC'!$D82*15,"TZS",'PT AND PC'!$D82*0.2,"RWF",'PT AND PC'!$D82*0.4)</f>
        <v>#NAME?</v>
      </c>
      <c r="H82" s="24"/>
      <c r="I82" s="24"/>
    </row>
    <row r="83" spans="1:9" ht="14.25" customHeight="1" x14ac:dyDescent="0.15">
      <c r="A83" s="71" t="s">
        <v>132</v>
      </c>
      <c r="B83" s="72">
        <v>45058</v>
      </c>
      <c r="C83" s="72" t="s">
        <v>56</v>
      </c>
      <c r="D83" s="72">
        <v>5500</v>
      </c>
      <c r="E83" s="72" t="e">
        <f t="array" aca="1" ref="E83" ca="1">_xludf.SWITCH('PT AND PC'!$C83,"NGN",'PT AND PC'!$D83,"USD",'PT AND PC'!$D83*1000,"GBP",'PT AND PC'!$D83*1200,"KES",'PT AND PC'!$D83*5.4,"GHS",'PT AND PC'!$D83*80,"XAF",'PT AND PC'!$D83*1.6,"ZAR",'PT AND PC'!$D83*15,"TZS",'PT AND PC'!$D83*0.2,"RWF",'PT AND PC'!$D83*0.4)</f>
        <v>#NAME?</v>
      </c>
      <c r="H83" s="24"/>
      <c r="I83" s="24"/>
    </row>
    <row r="84" spans="1:9" ht="14.25" customHeight="1" x14ac:dyDescent="0.15">
      <c r="A84" s="69" t="s">
        <v>132</v>
      </c>
      <c r="B84" s="70">
        <v>45057</v>
      </c>
      <c r="C84" s="70" t="s">
        <v>56</v>
      </c>
      <c r="D84" s="70">
        <v>5500</v>
      </c>
      <c r="E84" s="70" t="e">
        <f t="array" aca="1" ref="E84" ca="1">_xludf.SWITCH('PT AND PC'!$C84,"NGN",'PT AND PC'!$D84,"USD",'PT AND PC'!$D84*1000,"GBP",'PT AND PC'!$D84*1200,"KES",'PT AND PC'!$D84*5.4,"GHS",'PT AND PC'!$D84*80,"XAF",'PT AND PC'!$D84*1.6,"ZAR",'PT AND PC'!$D84*15,"TZS",'PT AND PC'!$D84*0.2,"RWF",'PT AND PC'!$D84*0.4)</f>
        <v>#NAME?</v>
      </c>
      <c r="H84" s="24"/>
      <c r="I84" s="24"/>
    </row>
    <row r="85" spans="1:9" ht="14.25" customHeight="1" x14ac:dyDescent="0.15">
      <c r="A85" s="71" t="s">
        <v>132</v>
      </c>
      <c r="B85" s="72">
        <v>45057</v>
      </c>
      <c r="C85" s="72" t="s">
        <v>60</v>
      </c>
      <c r="D85" s="72">
        <v>14</v>
      </c>
      <c r="E85" s="72" t="e">
        <f t="array" aca="1" ref="E85" ca="1">_xludf.SWITCH('PT AND PC'!$C85,"NGN",'PT AND PC'!$D85,"USD",'PT AND PC'!$D85*1000,"GBP",'PT AND PC'!$D85*1200,"KES",'PT AND PC'!$D85*5.4,"GHS",'PT AND PC'!$D85*80,"XAF",'PT AND PC'!$D85*1.6,"ZAR",'PT AND PC'!$D85*15,"TZS",'PT AND PC'!$D85*0.2,"RWF",'PT AND PC'!$D85*0.4)</f>
        <v>#NAME?</v>
      </c>
      <c r="H85" s="24"/>
      <c r="I85" s="24"/>
    </row>
    <row r="86" spans="1:9" ht="14.25" customHeight="1" x14ac:dyDescent="0.15">
      <c r="A86" s="69" t="s">
        <v>132</v>
      </c>
      <c r="B86" s="70">
        <v>45057</v>
      </c>
      <c r="C86" s="70" t="s">
        <v>33</v>
      </c>
      <c r="D86" s="70">
        <v>9.23</v>
      </c>
      <c r="E86" s="70" t="e">
        <f t="array" aca="1" ref="E86" ca="1">_xludf.SWITCH('PT AND PC'!$C86,"NGN",'PT AND PC'!$D86,"USD",'PT AND PC'!$D86*1000,"GBP",'PT AND PC'!$D86*1200,"KES",'PT AND PC'!$D86*5.4,"GHS",'PT AND PC'!$D86*80,"XAF",'PT AND PC'!$D86*1.6,"ZAR",'PT AND PC'!$D86*15,"TZS",'PT AND PC'!$D86*0.2,"RWF",'PT AND PC'!$D86*0.4)</f>
        <v>#NAME?</v>
      </c>
      <c r="H86" s="24"/>
      <c r="I86" s="24"/>
    </row>
    <row r="87" spans="1:9" ht="14.25" customHeight="1" x14ac:dyDescent="0.15">
      <c r="A87" s="71" t="s">
        <v>132</v>
      </c>
      <c r="B87" s="72">
        <v>45057</v>
      </c>
      <c r="C87" s="72" t="s">
        <v>56</v>
      </c>
      <c r="D87" s="72">
        <v>5500</v>
      </c>
      <c r="E87" s="72" t="e">
        <f t="array" aca="1" ref="E87" ca="1">_xludf.SWITCH('PT AND PC'!$C87,"NGN",'PT AND PC'!$D87,"USD",'PT AND PC'!$D87*1000,"GBP",'PT AND PC'!$D87*1200,"KES",'PT AND PC'!$D87*5.4,"GHS",'PT AND PC'!$D87*80,"XAF",'PT AND PC'!$D87*1.6,"ZAR",'PT AND PC'!$D87*15,"TZS",'PT AND PC'!$D87*0.2,"RWF",'PT AND PC'!$D87*0.4)</f>
        <v>#NAME?</v>
      </c>
      <c r="H87" s="24"/>
      <c r="I87" s="24"/>
    </row>
    <row r="88" spans="1:9" ht="14.25" customHeight="1" x14ac:dyDescent="0.15">
      <c r="A88" s="69" t="s">
        <v>132</v>
      </c>
      <c r="B88" s="70">
        <v>45056</v>
      </c>
      <c r="C88" s="70" t="s">
        <v>60</v>
      </c>
      <c r="D88" s="70">
        <v>14</v>
      </c>
      <c r="E88" s="70" t="e">
        <f t="array" aca="1" ref="E88" ca="1">_xludf.SWITCH('PT AND PC'!$C88,"NGN",'PT AND PC'!$D88,"USD",'PT AND PC'!$D88*1000,"GBP",'PT AND PC'!$D88*1200,"KES",'PT AND PC'!$D88*5.4,"GHS",'PT AND PC'!$D88*80,"XAF",'PT AND PC'!$D88*1.6,"ZAR",'PT AND PC'!$D88*15,"TZS",'PT AND PC'!$D88*0.2,"RWF",'PT AND PC'!$D88*0.4)</f>
        <v>#NAME?</v>
      </c>
      <c r="H88" s="24"/>
      <c r="I88" s="24"/>
    </row>
    <row r="89" spans="1:9" ht="14.25" customHeight="1" x14ac:dyDescent="0.15">
      <c r="A89" s="71" t="s">
        <v>132</v>
      </c>
      <c r="B89" s="72">
        <v>45056</v>
      </c>
      <c r="C89" s="72" t="s">
        <v>33</v>
      </c>
      <c r="D89" s="72">
        <v>9.2200000000000006</v>
      </c>
      <c r="E89" s="72" t="e">
        <f t="array" aca="1" ref="E89" ca="1">_xludf.SWITCH('PT AND PC'!$C89,"NGN",'PT AND PC'!$D89,"USD",'PT AND PC'!$D89*1000,"GBP",'PT AND PC'!$D89*1200,"KES",'PT AND PC'!$D89*5.4,"GHS",'PT AND PC'!$D89*80,"XAF",'PT AND PC'!$D89*1.6,"ZAR",'PT AND PC'!$D89*15,"TZS",'PT AND PC'!$D89*0.2,"RWF",'PT AND PC'!$D89*0.4)</f>
        <v>#NAME?</v>
      </c>
      <c r="H89" s="24"/>
      <c r="I89" s="24"/>
    </row>
    <row r="90" spans="1:9" ht="14.25" customHeight="1" x14ac:dyDescent="0.15">
      <c r="A90" s="69" t="s">
        <v>132</v>
      </c>
      <c r="B90" s="70">
        <v>45056</v>
      </c>
      <c r="C90" s="70" t="s">
        <v>56</v>
      </c>
      <c r="D90" s="70">
        <v>5500</v>
      </c>
      <c r="E90" s="70" t="e">
        <f t="array" aca="1" ref="E90" ca="1">_xludf.SWITCH('PT AND PC'!$C90,"NGN",'PT AND PC'!$D90,"USD",'PT AND PC'!$D90*1000,"GBP",'PT AND PC'!$D90*1200,"KES",'PT AND PC'!$D90*5.4,"GHS",'PT AND PC'!$D90*80,"XAF",'PT AND PC'!$D90*1.6,"ZAR",'PT AND PC'!$D90*15,"TZS",'PT AND PC'!$D90*0.2,"RWF",'PT AND PC'!$D90*0.4)</f>
        <v>#NAME?</v>
      </c>
      <c r="H90" s="24"/>
      <c r="I90" s="24"/>
    </row>
    <row r="91" spans="1:9" ht="14.25" customHeight="1" x14ac:dyDescent="0.15">
      <c r="A91" s="71" t="s">
        <v>132</v>
      </c>
      <c r="B91" s="72">
        <v>45056</v>
      </c>
      <c r="C91" s="72" t="s">
        <v>56</v>
      </c>
      <c r="D91" s="72">
        <v>5500</v>
      </c>
      <c r="E91" s="72" t="e">
        <f t="array" aca="1" ref="E91" ca="1">_xludf.SWITCH('PT AND PC'!$C91,"NGN",'PT AND PC'!$D91,"USD",'PT AND PC'!$D91*1000,"GBP",'PT AND PC'!$D91*1200,"KES",'PT AND PC'!$D91*5.4,"GHS",'PT AND PC'!$D91*80,"XAF",'PT AND PC'!$D91*1.6,"ZAR",'PT AND PC'!$D91*15,"TZS",'PT AND PC'!$D91*0.2,"RWF",'PT AND PC'!$D91*0.4)</f>
        <v>#NAME?</v>
      </c>
      <c r="H91" s="24"/>
      <c r="I91" s="24"/>
    </row>
    <row r="92" spans="1:9" ht="14.25" customHeight="1" x14ac:dyDescent="0.15">
      <c r="A92" s="69" t="s">
        <v>132</v>
      </c>
      <c r="B92" s="70">
        <v>45056</v>
      </c>
      <c r="C92" s="70" t="s">
        <v>56</v>
      </c>
      <c r="D92" s="70">
        <v>5500</v>
      </c>
      <c r="E92" s="70" t="e">
        <f t="array" aca="1" ref="E92" ca="1">_xludf.SWITCH('PT AND PC'!$C92,"NGN",'PT AND PC'!$D92,"USD",'PT AND PC'!$D92*1000,"GBP",'PT AND PC'!$D92*1200,"KES",'PT AND PC'!$D92*5.4,"GHS",'PT AND PC'!$D92*80,"XAF",'PT AND PC'!$D92*1.6,"ZAR",'PT AND PC'!$D92*15,"TZS",'PT AND PC'!$D92*0.2,"RWF",'PT AND PC'!$D92*0.4)</f>
        <v>#NAME?</v>
      </c>
      <c r="H92" s="24"/>
      <c r="I92" s="24"/>
    </row>
    <row r="93" spans="1:9" ht="14.25" customHeight="1" x14ac:dyDescent="0.15">
      <c r="A93" s="71" t="s">
        <v>132</v>
      </c>
      <c r="B93" s="72">
        <v>45056</v>
      </c>
      <c r="C93" s="72" t="s">
        <v>30</v>
      </c>
      <c r="D93" s="72">
        <v>156</v>
      </c>
      <c r="E93" s="72" t="e">
        <f t="array" aca="1" ref="E93" ca="1">_xludf.SWITCH('PT AND PC'!$C93,"NGN",'PT AND PC'!$D93,"USD",'PT AND PC'!$D93*1000,"GBP",'PT AND PC'!$D93*1200,"KES",'PT AND PC'!$D93*5.4,"GHS",'PT AND PC'!$D93*80,"XAF",'PT AND PC'!$D93*1.6,"ZAR",'PT AND PC'!$D93*15,"TZS",'PT AND PC'!$D93*0.2,"RWF",'PT AND PC'!$D93*0.4)</f>
        <v>#NAME?</v>
      </c>
      <c r="H93" s="24"/>
      <c r="I93" s="24"/>
    </row>
    <row r="94" spans="1:9" ht="14.25" customHeight="1" x14ac:dyDescent="0.15">
      <c r="A94" s="69" t="s">
        <v>132</v>
      </c>
      <c r="B94" s="70">
        <v>45056</v>
      </c>
      <c r="C94" s="70" t="s">
        <v>60</v>
      </c>
      <c r="D94" s="70">
        <v>14</v>
      </c>
      <c r="E94" s="70" t="e">
        <f t="array" aca="1" ref="E94" ca="1">_xludf.SWITCH('PT AND PC'!$C94,"NGN",'PT AND PC'!$D94,"USD",'PT AND PC'!$D94*1000,"GBP",'PT AND PC'!$D94*1200,"KES",'PT AND PC'!$D94*5.4,"GHS",'PT AND PC'!$D94*80,"XAF",'PT AND PC'!$D94*1.6,"ZAR",'PT AND PC'!$D94*15,"TZS",'PT AND PC'!$D94*0.2,"RWF",'PT AND PC'!$D94*0.4)</f>
        <v>#NAME?</v>
      </c>
      <c r="H94" s="24"/>
      <c r="I94" s="24"/>
    </row>
    <row r="95" spans="1:9" ht="14.25" customHeight="1" x14ac:dyDescent="0.15">
      <c r="A95" s="71" t="s">
        <v>132</v>
      </c>
      <c r="B95" s="72">
        <v>45056</v>
      </c>
      <c r="C95" s="72" t="s">
        <v>60</v>
      </c>
      <c r="D95" s="72">
        <v>14</v>
      </c>
      <c r="E95" s="72" t="e">
        <f t="array" aca="1" ref="E95" ca="1">_xludf.SWITCH('PT AND PC'!$C95,"NGN",'PT AND PC'!$D95,"USD",'PT AND PC'!$D95*1000,"GBP",'PT AND PC'!$D95*1200,"KES",'PT AND PC'!$D95*5.4,"GHS",'PT AND PC'!$D95*80,"XAF",'PT AND PC'!$D95*1.6,"ZAR",'PT AND PC'!$D95*15,"TZS",'PT AND PC'!$D95*0.2,"RWF",'PT AND PC'!$D95*0.4)</f>
        <v>#NAME?</v>
      </c>
      <c r="H95" s="24"/>
      <c r="I95" s="24"/>
    </row>
    <row r="96" spans="1:9" ht="14.25" customHeight="1" x14ac:dyDescent="0.15">
      <c r="A96" s="69" t="s">
        <v>132</v>
      </c>
      <c r="B96" s="70">
        <v>45055</v>
      </c>
      <c r="C96" s="70" t="s">
        <v>60</v>
      </c>
      <c r="D96" s="70">
        <v>14</v>
      </c>
      <c r="E96" s="70" t="e">
        <f t="array" aca="1" ref="E96" ca="1">_xludf.SWITCH('PT AND PC'!$C96,"NGN",'PT AND PC'!$D96,"USD",'PT AND PC'!$D96*1000,"GBP",'PT AND PC'!$D96*1200,"KES",'PT AND PC'!$D96*5.4,"GHS",'PT AND PC'!$D96*80,"XAF",'PT AND PC'!$D96*1.6,"ZAR",'PT AND PC'!$D96*15,"TZS",'PT AND PC'!$D96*0.2,"RWF",'PT AND PC'!$D96*0.4)</f>
        <v>#NAME?</v>
      </c>
      <c r="H96" s="24"/>
      <c r="I96" s="24"/>
    </row>
    <row r="97" spans="1:9" ht="14.25" customHeight="1" x14ac:dyDescent="0.15">
      <c r="A97" s="71" t="s">
        <v>132</v>
      </c>
      <c r="B97" s="72">
        <v>45055</v>
      </c>
      <c r="C97" s="72" t="s">
        <v>56</v>
      </c>
      <c r="D97" s="72">
        <v>5500</v>
      </c>
      <c r="E97" s="72" t="e">
        <f t="array" aca="1" ref="E97" ca="1">_xludf.SWITCH('PT AND PC'!$C97,"NGN",'PT AND PC'!$D97,"USD",'PT AND PC'!$D97*1000,"GBP",'PT AND PC'!$D97*1200,"KES",'PT AND PC'!$D97*5.4,"GHS",'PT AND PC'!$D97*80,"XAF",'PT AND PC'!$D97*1.6,"ZAR",'PT AND PC'!$D97*15,"TZS",'PT AND PC'!$D97*0.2,"RWF",'PT AND PC'!$D97*0.4)</f>
        <v>#NAME?</v>
      </c>
      <c r="H97" s="24"/>
      <c r="I97" s="24"/>
    </row>
    <row r="98" spans="1:9" ht="14.25" customHeight="1" x14ac:dyDescent="0.15">
      <c r="A98" s="69" t="s">
        <v>132</v>
      </c>
      <c r="B98" s="70">
        <v>45054</v>
      </c>
      <c r="C98" s="70" t="s">
        <v>56</v>
      </c>
      <c r="D98" s="70">
        <v>5500</v>
      </c>
      <c r="E98" s="70" t="e">
        <f t="array" aca="1" ref="E98" ca="1">_xludf.SWITCH('PT AND PC'!$C98,"NGN",'PT AND PC'!$D98,"USD",'PT AND PC'!$D98*1000,"GBP",'PT AND PC'!$D98*1200,"KES",'PT AND PC'!$D98*5.4,"GHS",'PT AND PC'!$D98*80,"XAF",'PT AND PC'!$D98*1.6,"ZAR",'PT AND PC'!$D98*15,"TZS",'PT AND PC'!$D98*0.2,"RWF",'PT AND PC'!$D98*0.4)</f>
        <v>#NAME?</v>
      </c>
      <c r="H98" s="24"/>
      <c r="I98" s="24"/>
    </row>
    <row r="99" spans="1:9" ht="14.25" customHeight="1" x14ac:dyDescent="0.15">
      <c r="A99" s="71" t="s">
        <v>132</v>
      </c>
      <c r="B99" s="72">
        <v>45054</v>
      </c>
      <c r="C99" s="72" t="s">
        <v>60</v>
      </c>
      <c r="D99" s="72">
        <v>14</v>
      </c>
      <c r="E99" s="72" t="e">
        <f t="array" aca="1" ref="E99" ca="1">_xludf.SWITCH('PT AND PC'!$C99,"NGN",'PT AND PC'!$D99,"USD",'PT AND PC'!$D99*1000,"GBP",'PT AND PC'!$D99*1200,"KES",'PT AND PC'!$D99*5.4,"GHS",'PT AND PC'!$D99*80,"XAF",'PT AND PC'!$D99*1.6,"ZAR",'PT AND PC'!$D99*15,"TZS",'PT AND PC'!$D99*0.2,"RWF",'PT AND PC'!$D99*0.4)</f>
        <v>#NAME?</v>
      </c>
      <c r="H99" s="24"/>
      <c r="I99" s="24"/>
    </row>
    <row r="100" spans="1:9" ht="14.25" customHeight="1" x14ac:dyDescent="0.15">
      <c r="A100" s="69" t="s">
        <v>132</v>
      </c>
      <c r="B100" s="70">
        <v>45054</v>
      </c>
      <c r="C100" s="70" t="s">
        <v>39</v>
      </c>
      <c r="D100" s="70">
        <v>28162</v>
      </c>
      <c r="E100" s="70" t="e">
        <f t="array" aca="1" ref="E100" ca="1">_xludf.SWITCH('PT AND PC'!$C100,"NGN",'PT AND PC'!$D100,"USD",'PT AND PC'!$D100*1000,"GBP",'PT AND PC'!$D100*1200,"KES",'PT AND PC'!$D100*5.4,"GHS",'PT AND PC'!$D100*80,"XAF",'PT AND PC'!$D100*1.6,"ZAR",'PT AND PC'!$D100*15,"TZS",'PT AND PC'!$D100*0.2,"RWF",'PT AND PC'!$D100*0.4)</f>
        <v>#NAME?</v>
      </c>
      <c r="H100" s="24"/>
      <c r="I100" s="24"/>
    </row>
    <row r="101" spans="1:9" ht="14.25" customHeight="1" x14ac:dyDescent="0.15">
      <c r="A101" s="71" t="s">
        <v>132</v>
      </c>
      <c r="B101" s="72">
        <v>45054</v>
      </c>
      <c r="C101" s="72" t="s">
        <v>56</v>
      </c>
      <c r="D101" s="72">
        <v>5500</v>
      </c>
      <c r="E101" s="72" t="e">
        <f t="array" aca="1" ref="E101" ca="1">_xludf.SWITCH('PT AND PC'!$C101,"NGN",'PT AND PC'!$D101,"USD",'PT AND PC'!$D101*1000,"GBP",'PT AND PC'!$D101*1200,"KES",'PT AND PC'!$D101*5.4,"GHS",'PT AND PC'!$D101*80,"XAF",'PT AND PC'!$D101*1.6,"ZAR",'PT AND PC'!$D101*15,"TZS",'PT AND PC'!$D101*0.2,"RWF",'PT AND PC'!$D101*0.4)</f>
        <v>#NAME?</v>
      </c>
      <c r="H101" s="24"/>
      <c r="I101" s="24"/>
    </row>
    <row r="102" spans="1:9" ht="14.25" customHeight="1" x14ac:dyDescent="0.15">
      <c r="A102" s="69" t="s">
        <v>132</v>
      </c>
      <c r="B102" s="70">
        <v>45053</v>
      </c>
      <c r="C102" s="70" t="s">
        <v>33</v>
      </c>
      <c r="D102" s="70">
        <v>9.1999999999999993</v>
      </c>
      <c r="E102" s="70" t="e">
        <f t="array" aca="1" ref="E102" ca="1">_xludf.SWITCH('PT AND PC'!$C102,"NGN",'PT AND PC'!$D102,"USD",'PT AND PC'!$D102*1000,"GBP",'PT AND PC'!$D102*1200,"KES",'PT AND PC'!$D102*5.4,"GHS",'PT AND PC'!$D102*80,"XAF",'PT AND PC'!$D102*1.6,"ZAR",'PT AND PC'!$D102*15,"TZS",'PT AND PC'!$D102*0.2,"RWF",'PT AND PC'!$D102*0.4)</f>
        <v>#NAME?</v>
      </c>
      <c r="H102" s="24"/>
      <c r="I102" s="24"/>
    </row>
    <row r="103" spans="1:9" ht="14.25" customHeight="1" x14ac:dyDescent="0.15">
      <c r="A103" s="71" t="s">
        <v>132</v>
      </c>
      <c r="B103" s="72">
        <v>45053</v>
      </c>
      <c r="C103" s="72" t="s">
        <v>33</v>
      </c>
      <c r="D103" s="72">
        <v>9.1999999999999993</v>
      </c>
      <c r="E103" s="72" t="e">
        <f t="array" aca="1" ref="E103" ca="1">_xludf.SWITCH('PT AND PC'!$C103,"NGN",'PT AND PC'!$D103,"USD",'PT AND PC'!$D103*1000,"GBP",'PT AND PC'!$D103*1200,"KES",'PT AND PC'!$D103*5.4,"GHS",'PT AND PC'!$D103*80,"XAF",'PT AND PC'!$D103*1.6,"ZAR",'PT AND PC'!$D103*15,"TZS",'PT AND PC'!$D103*0.2,"RWF",'PT AND PC'!$D103*0.4)</f>
        <v>#NAME?</v>
      </c>
      <c r="H103" s="24"/>
      <c r="I103" s="24"/>
    </row>
    <row r="104" spans="1:9" ht="14.25" customHeight="1" x14ac:dyDescent="0.15">
      <c r="A104" s="69" t="s">
        <v>132</v>
      </c>
      <c r="B104" s="70">
        <v>45053</v>
      </c>
      <c r="C104" s="70" t="s">
        <v>56</v>
      </c>
      <c r="D104" s="70">
        <v>5500</v>
      </c>
      <c r="E104" s="70" t="e">
        <f t="array" aca="1" ref="E104" ca="1">_xludf.SWITCH('PT AND PC'!$C104,"NGN",'PT AND PC'!$D104,"USD",'PT AND PC'!$D104*1000,"GBP",'PT AND PC'!$D104*1200,"KES",'PT AND PC'!$D104*5.4,"GHS",'PT AND PC'!$D104*80,"XAF",'PT AND PC'!$D104*1.6,"ZAR",'PT AND PC'!$D104*15,"TZS",'PT AND PC'!$D104*0.2,"RWF",'PT AND PC'!$D104*0.4)</f>
        <v>#NAME?</v>
      </c>
      <c r="H104" s="24"/>
      <c r="I104" s="24"/>
    </row>
    <row r="105" spans="1:9" ht="14.25" customHeight="1" x14ac:dyDescent="0.15">
      <c r="A105" s="71" t="s">
        <v>132</v>
      </c>
      <c r="B105" s="72">
        <v>45052</v>
      </c>
      <c r="C105" s="72" t="s">
        <v>30</v>
      </c>
      <c r="D105" s="72">
        <v>155</v>
      </c>
      <c r="E105" s="72" t="e">
        <f t="array" aca="1" ref="E105" ca="1">_xludf.SWITCH('PT AND PC'!$C105,"NGN",'PT AND PC'!$D105,"USD",'PT AND PC'!$D105*1000,"GBP",'PT AND PC'!$D105*1200,"KES",'PT AND PC'!$D105*5.4,"GHS",'PT AND PC'!$D105*80,"XAF",'PT AND PC'!$D105*1.6,"ZAR",'PT AND PC'!$D105*15,"TZS",'PT AND PC'!$D105*0.2,"RWF",'PT AND PC'!$D105*0.4)</f>
        <v>#NAME?</v>
      </c>
      <c r="H105" s="24"/>
      <c r="I105" s="24"/>
    </row>
    <row r="106" spans="1:9" ht="14.25" customHeight="1" x14ac:dyDescent="0.15">
      <c r="A106" s="69" t="s">
        <v>132</v>
      </c>
      <c r="B106" s="70">
        <v>45052</v>
      </c>
      <c r="C106" s="70" t="s">
        <v>60</v>
      </c>
      <c r="D106" s="70">
        <v>14</v>
      </c>
      <c r="E106" s="70" t="e">
        <f t="array" aca="1" ref="E106" ca="1">_xludf.SWITCH('PT AND PC'!$C106,"NGN",'PT AND PC'!$D106,"USD",'PT AND PC'!$D106*1000,"GBP",'PT AND PC'!$D106*1200,"KES",'PT AND PC'!$D106*5.4,"GHS",'PT AND PC'!$D106*80,"XAF",'PT AND PC'!$D106*1.6,"ZAR",'PT AND PC'!$D106*15,"TZS",'PT AND PC'!$D106*0.2,"RWF",'PT AND PC'!$D106*0.4)</f>
        <v>#NAME?</v>
      </c>
      <c r="H106" s="24"/>
      <c r="I106" s="24"/>
    </row>
    <row r="107" spans="1:9" ht="14.25" customHeight="1" x14ac:dyDescent="0.15">
      <c r="A107" s="71" t="s">
        <v>132</v>
      </c>
      <c r="B107" s="72">
        <v>45052</v>
      </c>
      <c r="C107" s="72" t="s">
        <v>56</v>
      </c>
      <c r="D107" s="72">
        <v>5500</v>
      </c>
      <c r="E107" s="72" t="e">
        <f t="array" aca="1" ref="E107" ca="1">_xludf.SWITCH('PT AND PC'!$C107,"NGN",'PT AND PC'!$D107,"USD",'PT AND PC'!$D107*1000,"GBP",'PT AND PC'!$D107*1200,"KES",'PT AND PC'!$D107*5.4,"GHS",'PT AND PC'!$D107*80,"XAF",'PT AND PC'!$D107*1.6,"ZAR",'PT AND PC'!$D107*15,"TZS",'PT AND PC'!$D107*0.2,"RWF",'PT AND PC'!$D107*0.4)</f>
        <v>#NAME?</v>
      </c>
      <c r="H107" s="24"/>
      <c r="I107" s="24"/>
    </row>
    <row r="108" spans="1:9" ht="14.25" customHeight="1" x14ac:dyDescent="0.15">
      <c r="A108" s="69" t="s">
        <v>132</v>
      </c>
      <c r="B108" s="70">
        <v>45052</v>
      </c>
      <c r="C108" s="70" t="s">
        <v>33</v>
      </c>
      <c r="D108" s="70">
        <v>9.1999999999999993</v>
      </c>
      <c r="E108" s="70" t="e">
        <f t="array" aca="1" ref="E108" ca="1">_xludf.SWITCH('PT AND PC'!$C108,"NGN",'PT AND PC'!$D108,"USD",'PT AND PC'!$D108*1000,"GBP",'PT AND PC'!$D108*1200,"KES",'PT AND PC'!$D108*5.4,"GHS",'PT AND PC'!$D108*80,"XAF",'PT AND PC'!$D108*1.6,"ZAR",'PT AND PC'!$D108*15,"TZS",'PT AND PC'!$D108*0.2,"RWF",'PT AND PC'!$D108*0.4)</f>
        <v>#NAME?</v>
      </c>
      <c r="H108" s="24"/>
      <c r="I108" s="24"/>
    </row>
    <row r="109" spans="1:9" ht="14.25" customHeight="1" x14ac:dyDescent="0.15">
      <c r="A109" s="71" t="s">
        <v>132</v>
      </c>
      <c r="B109" s="72">
        <v>45052</v>
      </c>
      <c r="C109" s="72" t="s">
        <v>56</v>
      </c>
      <c r="D109" s="72">
        <v>5500</v>
      </c>
      <c r="E109" s="72" t="e">
        <f t="array" aca="1" ref="E109" ca="1">_xludf.SWITCH('PT AND PC'!$C109,"NGN",'PT AND PC'!$D109,"USD",'PT AND PC'!$D109*1000,"GBP",'PT AND PC'!$D109*1200,"KES",'PT AND PC'!$D109*5.4,"GHS",'PT AND PC'!$D109*80,"XAF",'PT AND PC'!$D109*1.6,"ZAR",'PT AND PC'!$D109*15,"TZS",'PT AND PC'!$D109*0.2,"RWF",'PT AND PC'!$D109*0.4)</f>
        <v>#NAME?</v>
      </c>
      <c r="H109" s="24"/>
      <c r="I109" s="24"/>
    </row>
    <row r="110" spans="1:9" ht="14.25" customHeight="1" x14ac:dyDescent="0.15">
      <c r="A110" s="69" t="s">
        <v>132</v>
      </c>
      <c r="B110" s="70">
        <v>45052</v>
      </c>
      <c r="C110" s="70" t="s">
        <v>56</v>
      </c>
      <c r="D110" s="70">
        <v>5500</v>
      </c>
      <c r="E110" s="70" t="e">
        <f t="array" aca="1" ref="E110" ca="1">_xludf.SWITCH('PT AND PC'!$C110,"NGN",'PT AND PC'!$D110,"USD",'PT AND PC'!$D110*1000,"GBP",'PT AND PC'!$D110*1200,"KES",'PT AND PC'!$D110*5.4,"GHS",'PT AND PC'!$D110*80,"XAF",'PT AND PC'!$D110*1.6,"ZAR",'PT AND PC'!$D110*15,"TZS",'PT AND PC'!$D110*0.2,"RWF",'PT AND PC'!$D110*0.4)</f>
        <v>#NAME?</v>
      </c>
      <c r="H110" s="24"/>
      <c r="I110" s="24"/>
    </row>
    <row r="111" spans="1:9" ht="14.25" customHeight="1" x14ac:dyDescent="0.15">
      <c r="A111" s="71" t="s">
        <v>132</v>
      </c>
      <c r="B111" s="72">
        <v>45052</v>
      </c>
      <c r="C111" s="72" t="s">
        <v>56</v>
      </c>
      <c r="D111" s="72">
        <v>5500</v>
      </c>
      <c r="E111" s="72" t="e">
        <f t="array" aca="1" ref="E111" ca="1">_xludf.SWITCH('PT AND PC'!$C111,"NGN",'PT AND PC'!$D111,"USD",'PT AND PC'!$D111*1000,"GBP",'PT AND PC'!$D111*1200,"KES",'PT AND PC'!$D111*5.4,"GHS",'PT AND PC'!$D111*80,"XAF",'PT AND PC'!$D111*1.6,"ZAR",'PT AND PC'!$D111*15,"TZS",'PT AND PC'!$D111*0.2,"RWF",'PT AND PC'!$D111*0.4)</f>
        <v>#NAME?</v>
      </c>
      <c r="H111" s="24"/>
      <c r="I111" s="24"/>
    </row>
    <row r="112" spans="1:9" ht="14.25" customHeight="1" x14ac:dyDescent="0.15">
      <c r="A112" s="69" t="s">
        <v>132</v>
      </c>
      <c r="B112" s="70">
        <v>45052</v>
      </c>
      <c r="C112" s="70" t="s">
        <v>33</v>
      </c>
      <c r="D112" s="70">
        <v>9.1999999999999993</v>
      </c>
      <c r="E112" s="70" t="e">
        <f t="array" aca="1" ref="E112" ca="1">_xludf.SWITCH('PT AND PC'!$C112,"NGN",'PT AND PC'!$D112,"USD",'PT AND PC'!$D112*1000,"GBP",'PT AND PC'!$D112*1200,"KES",'PT AND PC'!$D112*5.4,"GHS",'PT AND PC'!$D112*80,"XAF",'PT AND PC'!$D112*1.6,"ZAR",'PT AND PC'!$D112*15,"TZS",'PT AND PC'!$D112*0.2,"RWF",'PT AND PC'!$D112*0.4)</f>
        <v>#NAME?</v>
      </c>
      <c r="H112" s="24"/>
      <c r="I112" s="24"/>
    </row>
    <row r="113" spans="1:9" ht="14.25" customHeight="1" x14ac:dyDescent="0.15">
      <c r="A113" s="71" t="s">
        <v>132</v>
      </c>
      <c r="B113" s="72">
        <v>45052</v>
      </c>
      <c r="C113" s="72" t="s">
        <v>56</v>
      </c>
      <c r="D113" s="72">
        <v>5500</v>
      </c>
      <c r="E113" s="72" t="e">
        <f t="array" aca="1" ref="E113" ca="1">_xludf.SWITCH('PT AND PC'!$C113,"NGN",'PT AND PC'!$D113,"USD",'PT AND PC'!$D113*1000,"GBP",'PT AND PC'!$D113*1200,"KES",'PT AND PC'!$D113*5.4,"GHS",'PT AND PC'!$D113*80,"XAF",'PT AND PC'!$D113*1.6,"ZAR",'PT AND PC'!$D113*15,"TZS",'PT AND PC'!$D113*0.2,"RWF",'PT AND PC'!$D113*0.4)</f>
        <v>#NAME?</v>
      </c>
      <c r="H113" s="24"/>
      <c r="I113" s="24"/>
    </row>
    <row r="114" spans="1:9" ht="14.25" customHeight="1" x14ac:dyDescent="0.15">
      <c r="A114" s="69" t="s">
        <v>132</v>
      </c>
      <c r="B114" s="70">
        <v>45052</v>
      </c>
      <c r="C114" s="70" t="s">
        <v>30</v>
      </c>
      <c r="D114" s="70">
        <v>155</v>
      </c>
      <c r="E114" s="70" t="e">
        <f t="array" aca="1" ref="E114" ca="1">_xludf.SWITCH('PT AND PC'!$C114,"NGN",'PT AND PC'!$D114,"USD",'PT AND PC'!$D114*1000,"GBP",'PT AND PC'!$D114*1200,"KES",'PT AND PC'!$D114*5.4,"GHS",'PT AND PC'!$D114*80,"XAF",'PT AND PC'!$D114*1.6,"ZAR",'PT AND PC'!$D114*15,"TZS",'PT AND PC'!$D114*0.2,"RWF",'PT AND PC'!$D114*0.4)</f>
        <v>#NAME?</v>
      </c>
      <c r="H114" s="24"/>
      <c r="I114" s="24"/>
    </row>
    <row r="115" spans="1:9" ht="14.25" customHeight="1" x14ac:dyDescent="0.15">
      <c r="A115" s="71" t="s">
        <v>132</v>
      </c>
      <c r="B115" s="72">
        <v>45051</v>
      </c>
      <c r="C115" s="72" t="s">
        <v>30</v>
      </c>
      <c r="D115" s="72">
        <v>156</v>
      </c>
      <c r="E115" s="72" t="e">
        <f t="array" aca="1" ref="E115" ca="1">_xludf.SWITCH('PT AND PC'!$C115,"NGN",'PT AND PC'!$D115,"USD",'PT AND PC'!$D115*1000,"GBP",'PT AND PC'!$D115*1200,"KES",'PT AND PC'!$D115*5.4,"GHS",'PT AND PC'!$D115*80,"XAF",'PT AND PC'!$D115*1.6,"ZAR",'PT AND PC'!$D115*15,"TZS",'PT AND PC'!$D115*0.2,"RWF",'PT AND PC'!$D115*0.4)</f>
        <v>#NAME?</v>
      </c>
      <c r="H115" s="24"/>
      <c r="I115" s="24"/>
    </row>
    <row r="116" spans="1:9" ht="14.25" customHeight="1" x14ac:dyDescent="0.15">
      <c r="A116" s="69" t="s">
        <v>132</v>
      </c>
      <c r="B116" s="70">
        <v>45051</v>
      </c>
      <c r="C116" s="70" t="s">
        <v>33</v>
      </c>
      <c r="D116" s="70">
        <v>9.1999999999999993</v>
      </c>
      <c r="E116" s="70" t="e">
        <f t="array" aca="1" ref="E116" ca="1">_xludf.SWITCH('PT AND PC'!$C116,"NGN",'PT AND PC'!$D116,"USD",'PT AND PC'!$D116*1000,"GBP",'PT AND PC'!$D116*1200,"KES",'PT AND PC'!$D116*5.4,"GHS",'PT AND PC'!$D116*80,"XAF",'PT AND PC'!$D116*1.6,"ZAR",'PT AND PC'!$D116*15,"TZS",'PT AND PC'!$D116*0.2,"RWF",'PT AND PC'!$D116*0.4)</f>
        <v>#NAME?</v>
      </c>
      <c r="H116" s="24"/>
      <c r="I116" s="24"/>
    </row>
    <row r="117" spans="1:9" ht="14.25" customHeight="1" x14ac:dyDescent="0.15">
      <c r="A117" s="71" t="s">
        <v>132</v>
      </c>
      <c r="B117" s="72">
        <v>45051</v>
      </c>
      <c r="C117" s="72" t="s">
        <v>56</v>
      </c>
      <c r="D117" s="72">
        <v>5500</v>
      </c>
      <c r="E117" s="72" t="e">
        <f t="array" aca="1" ref="E117" ca="1">_xludf.SWITCH('PT AND PC'!$C117,"NGN",'PT AND PC'!$D117,"USD",'PT AND PC'!$D117*1000,"GBP",'PT AND PC'!$D117*1200,"KES",'PT AND PC'!$D117*5.4,"GHS",'PT AND PC'!$D117*80,"XAF",'PT AND PC'!$D117*1.6,"ZAR",'PT AND PC'!$D117*15,"TZS",'PT AND PC'!$D117*0.2,"RWF",'PT AND PC'!$D117*0.4)</f>
        <v>#NAME?</v>
      </c>
      <c r="H117" s="24"/>
      <c r="I117" s="24"/>
    </row>
    <row r="118" spans="1:9" ht="14.25" customHeight="1" x14ac:dyDescent="0.15">
      <c r="A118" s="69" t="s">
        <v>132</v>
      </c>
      <c r="B118" s="70">
        <v>45049</v>
      </c>
      <c r="C118" s="70" t="s">
        <v>56</v>
      </c>
      <c r="D118" s="70">
        <v>5500</v>
      </c>
      <c r="E118" s="70" t="e">
        <f t="array" aca="1" ref="E118" ca="1">_xludf.SWITCH('PT AND PC'!$C118,"NGN",'PT AND PC'!$D118,"USD",'PT AND PC'!$D118*1000,"GBP",'PT AND PC'!$D118*1200,"KES",'PT AND PC'!$D118*5.4,"GHS",'PT AND PC'!$D118*80,"XAF",'PT AND PC'!$D118*1.6,"ZAR",'PT AND PC'!$D118*15,"TZS",'PT AND PC'!$D118*0.2,"RWF",'PT AND PC'!$D118*0.4)</f>
        <v>#NAME?</v>
      </c>
      <c r="H118" s="24"/>
      <c r="I118" s="24"/>
    </row>
    <row r="119" spans="1:9" ht="14.25" customHeight="1" x14ac:dyDescent="0.15">
      <c r="A119" s="71" t="s">
        <v>132</v>
      </c>
      <c r="B119" s="72">
        <v>45049</v>
      </c>
      <c r="C119" s="72" t="s">
        <v>56</v>
      </c>
      <c r="D119" s="72">
        <v>5500</v>
      </c>
      <c r="E119" s="72" t="e">
        <f t="array" aca="1" ref="E119" ca="1">_xludf.SWITCH('PT AND PC'!$C119,"NGN",'PT AND PC'!$D119,"USD",'PT AND PC'!$D119*1000,"GBP",'PT AND PC'!$D119*1200,"KES",'PT AND PC'!$D119*5.4,"GHS",'PT AND PC'!$D119*80,"XAF",'PT AND PC'!$D119*1.6,"ZAR",'PT AND PC'!$D119*15,"TZS",'PT AND PC'!$D119*0.2,"RWF",'PT AND PC'!$D119*0.4)</f>
        <v>#NAME?</v>
      </c>
      <c r="H119" s="24"/>
      <c r="I119" s="24"/>
    </row>
    <row r="120" spans="1:9" ht="14.25" customHeight="1" x14ac:dyDescent="0.15">
      <c r="A120" s="69" t="s">
        <v>132</v>
      </c>
      <c r="B120" s="70">
        <v>45049</v>
      </c>
      <c r="C120" s="70" t="s">
        <v>56</v>
      </c>
      <c r="D120" s="70">
        <v>5500</v>
      </c>
      <c r="E120" s="70" t="e">
        <f t="array" aca="1" ref="E120" ca="1">_xludf.SWITCH('PT AND PC'!$C120,"NGN",'PT AND PC'!$D120,"USD",'PT AND PC'!$D120*1000,"GBP",'PT AND PC'!$D120*1200,"KES",'PT AND PC'!$D120*5.4,"GHS",'PT AND PC'!$D120*80,"XAF",'PT AND PC'!$D120*1.6,"ZAR",'PT AND PC'!$D120*15,"TZS",'PT AND PC'!$D120*0.2,"RWF",'PT AND PC'!$D120*0.4)</f>
        <v>#NAME?</v>
      </c>
      <c r="H120" s="24"/>
      <c r="I120" s="24"/>
    </row>
    <row r="121" spans="1:9" ht="14.25" customHeight="1" x14ac:dyDescent="0.15">
      <c r="A121" s="71" t="s">
        <v>132</v>
      </c>
      <c r="B121" s="72">
        <v>45048</v>
      </c>
      <c r="C121" s="72" t="s">
        <v>56</v>
      </c>
      <c r="D121" s="72">
        <v>5500</v>
      </c>
      <c r="E121" s="72" t="e">
        <f t="array" aca="1" ref="E121" ca="1">_xludf.SWITCH('PT AND PC'!$C121,"NGN",'PT AND PC'!$D121,"USD",'PT AND PC'!$D121*1000,"GBP",'PT AND PC'!$D121*1200,"KES",'PT AND PC'!$D121*5.4,"GHS",'PT AND PC'!$D121*80,"XAF",'PT AND PC'!$D121*1.6,"ZAR",'PT AND PC'!$D121*15,"TZS",'PT AND PC'!$D121*0.2,"RWF",'PT AND PC'!$D121*0.4)</f>
        <v>#NAME?</v>
      </c>
      <c r="H121" s="24"/>
    </row>
    <row r="122" spans="1:9" ht="14.25" customHeight="1" x14ac:dyDescent="0.15">
      <c r="A122" s="69" t="s">
        <v>132</v>
      </c>
      <c r="B122" s="70">
        <v>45047</v>
      </c>
      <c r="C122" s="70" t="s">
        <v>33</v>
      </c>
      <c r="D122" s="70">
        <v>9.31</v>
      </c>
      <c r="E122" s="70" t="e">
        <f t="array" aca="1" ref="E122" ca="1">_xludf.SWITCH('PT AND PC'!$C122,"NGN",'PT AND PC'!$D122,"USD",'PT AND PC'!$D122*1000,"GBP",'PT AND PC'!$D122*1200,"KES",'PT AND PC'!$D122*5.4,"GHS",'PT AND PC'!$D122*80,"XAF",'PT AND PC'!$D122*1.6,"ZAR",'PT AND PC'!$D122*15,"TZS",'PT AND PC'!$D122*0.2,"RWF",'PT AND PC'!$D122*0.4)</f>
        <v>#NAME?</v>
      </c>
      <c r="H122" s="24"/>
    </row>
    <row r="123" spans="1:9" ht="14.25" customHeight="1" x14ac:dyDescent="0.15">
      <c r="A123" s="71" t="s">
        <v>132</v>
      </c>
      <c r="B123" s="72">
        <v>45047</v>
      </c>
      <c r="C123" s="72" t="s">
        <v>56</v>
      </c>
      <c r="D123" s="72">
        <v>5500</v>
      </c>
      <c r="E123" s="72" t="e">
        <f t="array" aca="1" ref="E123" ca="1">_xludf.SWITCH('PT AND PC'!$C123,"NGN",'PT AND PC'!$D123,"USD",'PT AND PC'!$D123*1000,"GBP",'PT AND PC'!$D123*1200,"KES",'PT AND PC'!$D123*5.4,"GHS",'PT AND PC'!$D123*80,"XAF",'PT AND PC'!$D123*1.6,"ZAR",'PT AND PC'!$D123*15,"TZS",'PT AND PC'!$D123*0.2,"RWF",'PT AND PC'!$D123*0.4)</f>
        <v>#NAME?</v>
      </c>
      <c r="H123" s="24"/>
    </row>
    <row r="124" spans="1:9" ht="14.25" customHeight="1" x14ac:dyDescent="0.15">
      <c r="A124" s="69" t="s">
        <v>132</v>
      </c>
      <c r="B124" s="70">
        <v>45046</v>
      </c>
      <c r="C124" s="70" t="s">
        <v>56</v>
      </c>
      <c r="D124" s="70">
        <v>5500</v>
      </c>
      <c r="E124" s="70" t="e">
        <f t="array" aca="1" ref="E124" ca="1">_xludf.SWITCH('PT AND PC'!$C124,"NGN",'PT AND PC'!$D124,"USD",'PT AND PC'!$D124*1000,"GBP",'PT AND PC'!$D124*1200,"KES",'PT AND PC'!$D124*5.4,"GHS",'PT AND PC'!$D124*80,"XAF",'PT AND PC'!$D124*1.6,"ZAR",'PT AND PC'!$D124*15,"TZS",'PT AND PC'!$D124*0.2,"RWF",'PT AND PC'!$D124*0.4)</f>
        <v>#NAME?</v>
      </c>
      <c r="H124" s="24"/>
    </row>
    <row r="125" spans="1:9" ht="14.25" customHeight="1" x14ac:dyDescent="0.15">
      <c r="A125" s="71" t="s">
        <v>132</v>
      </c>
      <c r="B125" s="72">
        <v>45046</v>
      </c>
      <c r="C125" s="72" t="s">
        <v>56</v>
      </c>
      <c r="D125" s="72">
        <v>5500</v>
      </c>
      <c r="E125" s="72" t="e">
        <f t="array" aca="1" ref="E125" ca="1">_xludf.SWITCH('PT AND PC'!$C125,"NGN",'PT AND PC'!$D125,"USD",'PT AND PC'!$D125*1000,"GBP",'PT AND PC'!$D125*1200,"KES",'PT AND PC'!$D125*5.4,"GHS",'PT AND PC'!$D125*80,"XAF",'PT AND PC'!$D125*1.6,"ZAR",'PT AND PC'!$D125*15,"TZS",'PT AND PC'!$D125*0.2,"RWF",'PT AND PC'!$D125*0.4)</f>
        <v>#NAME?</v>
      </c>
      <c r="H125" s="24"/>
    </row>
    <row r="126" spans="1:9" ht="14.25" customHeight="1" x14ac:dyDescent="0.15">
      <c r="A126" s="69" t="s">
        <v>132</v>
      </c>
      <c r="B126" s="70">
        <v>45046</v>
      </c>
      <c r="C126" s="70" t="s">
        <v>30</v>
      </c>
      <c r="D126" s="70">
        <v>155</v>
      </c>
      <c r="E126" s="70" t="e">
        <f t="array" aca="1" ref="E126" ca="1">_xludf.SWITCH('PT AND PC'!$C126,"NGN",'PT AND PC'!$D126,"USD",'PT AND PC'!$D126*1000,"GBP",'PT AND PC'!$D126*1200,"KES",'PT AND PC'!$D126*5.4,"GHS",'PT AND PC'!$D126*80,"XAF",'PT AND PC'!$D126*1.6,"ZAR",'PT AND PC'!$D126*15,"TZS",'PT AND PC'!$D126*0.2,"RWF",'PT AND PC'!$D126*0.4)</f>
        <v>#NAME?</v>
      </c>
      <c r="H126" s="24"/>
    </row>
    <row r="127" spans="1:9" ht="14.25" customHeight="1" x14ac:dyDescent="0.15">
      <c r="A127" s="71" t="s">
        <v>132</v>
      </c>
      <c r="B127" s="72">
        <v>45045</v>
      </c>
      <c r="C127" s="72" t="s">
        <v>60</v>
      </c>
      <c r="D127" s="72">
        <v>14</v>
      </c>
      <c r="E127" s="72" t="e">
        <f t="array" aca="1" ref="E127" ca="1">_xludf.SWITCH('PT AND PC'!$C127,"NGN",'PT AND PC'!$D127,"USD",'PT AND PC'!$D127*1000,"GBP",'PT AND PC'!$D127*1200,"KES",'PT AND PC'!$D127*5.4,"GHS",'PT AND PC'!$D127*80,"XAF",'PT AND PC'!$D127*1.6,"ZAR",'PT AND PC'!$D127*15,"TZS",'PT AND PC'!$D127*0.2,"RWF",'PT AND PC'!$D127*0.4)</f>
        <v>#NAME?</v>
      </c>
      <c r="H127" s="24"/>
    </row>
    <row r="128" spans="1:9" ht="14.25" customHeight="1" x14ac:dyDescent="0.15">
      <c r="A128" s="69" t="s">
        <v>132</v>
      </c>
      <c r="B128" s="70">
        <v>45045</v>
      </c>
      <c r="C128" s="70" t="s">
        <v>56</v>
      </c>
      <c r="D128" s="70">
        <v>5500</v>
      </c>
      <c r="E128" s="70" t="e">
        <f t="array" aca="1" ref="E128" ca="1">_xludf.SWITCH('PT AND PC'!$C128,"NGN",'PT AND PC'!$D128,"USD",'PT AND PC'!$D128*1000,"GBP",'PT AND PC'!$D128*1200,"KES",'PT AND PC'!$D128*5.4,"GHS",'PT AND PC'!$D128*80,"XAF",'PT AND PC'!$D128*1.6,"ZAR",'PT AND PC'!$D128*15,"TZS",'PT AND PC'!$D128*0.2,"RWF",'PT AND PC'!$D128*0.4)</f>
        <v>#NAME?</v>
      </c>
      <c r="H128" s="24"/>
    </row>
    <row r="129" spans="1:9" ht="14.25" customHeight="1" x14ac:dyDescent="0.15">
      <c r="A129" s="71" t="s">
        <v>132</v>
      </c>
      <c r="B129" s="72">
        <v>45045</v>
      </c>
      <c r="C129" s="72" t="s">
        <v>60</v>
      </c>
      <c r="D129" s="72">
        <v>14</v>
      </c>
      <c r="E129" s="72" t="e">
        <f t="array" aca="1" ref="E129" ca="1">_xludf.SWITCH('PT AND PC'!$C129,"NGN",'PT AND PC'!$D129,"USD",'PT AND PC'!$D129*1000,"GBP",'PT AND PC'!$D129*1200,"KES",'PT AND PC'!$D129*5.4,"GHS",'PT AND PC'!$D129*80,"XAF",'PT AND PC'!$D129*1.6,"ZAR",'PT AND PC'!$D129*15,"TZS",'PT AND PC'!$D129*0.2,"RWF",'PT AND PC'!$D129*0.4)</f>
        <v>#NAME?</v>
      </c>
      <c r="H129" s="24"/>
    </row>
    <row r="130" spans="1:9" ht="14.25" customHeight="1" x14ac:dyDescent="0.15">
      <c r="A130" s="69" t="s">
        <v>132</v>
      </c>
      <c r="B130" s="70">
        <v>45045</v>
      </c>
      <c r="C130" s="70" t="s">
        <v>56</v>
      </c>
      <c r="D130" s="70">
        <v>5500</v>
      </c>
      <c r="E130" s="70" t="e">
        <f t="array" aca="1" ref="E130" ca="1">_xludf.SWITCH('PT AND PC'!$C130,"NGN",'PT AND PC'!$D130,"USD",'PT AND PC'!$D130*1000,"GBP",'PT AND PC'!$D130*1200,"KES",'PT AND PC'!$D130*5.4,"GHS",'PT AND PC'!$D130*80,"XAF",'PT AND PC'!$D130*1.6,"ZAR",'PT AND PC'!$D130*15,"TZS",'PT AND PC'!$D130*0.2,"RWF",'PT AND PC'!$D130*0.4)</f>
        <v>#NAME?</v>
      </c>
      <c r="H130" s="24"/>
    </row>
    <row r="131" spans="1:9" ht="14.25" customHeight="1" x14ac:dyDescent="0.15">
      <c r="A131" s="71" t="s">
        <v>132</v>
      </c>
      <c r="B131" s="72">
        <v>45045</v>
      </c>
      <c r="C131" s="72" t="s">
        <v>60</v>
      </c>
      <c r="D131" s="72">
        <v>14</v>
      </c>
      <c r="E131" s="72" t="e">
        <f t="array" aca="1" ref="E131" ca="1">_xludf.SWITCH('PT AND PC'!$C131,"NGN",'PT AND PC'!$D131,"USD",'PT AND PC'!$D131*1000,"GBP",'PT AND PC'!$D131*1200,"KES",'PT AND PC'!$D131*5.4,"GHS",'PT AND PC'!$D131*80,"XAF",'PT AND PC'!$D131*1.6,"ZAR",'PT AND PC'!$D131*15,"TZS",'PT AND PC'!$D131*0.2,"RWF",'PT AND PC'!$D131*0.4)</f>
        <v>#NAME?</v>
      </c>
      <c r="H131" s="24"/>
    </row>
    <row r="132" spans="1:9" ht="14.25" customHeight="1" x14ac:dyDescent="0.15">
      <c r="A132" s="69" t="s">
        <v>132</v>
      </c>
      <c r="B132" s="70">
        <v>45045</v>
      </c>
      <c r="C132" s="70" t="s">
        <v>56</v>
      </c>
      <c r="D132" s="70">
        <v>5500</v>
      </c>
      <c r="E132" s="70" t="e">
        <f t="array" aca="1" ref="E132" ca="1">_xludf.SWITCH('PT AND PC'!$C132,"NGN",'PT AND PC'!$D132,"USD",'PT AND PC'!$D132*1000,"GBP",'PT AND PC'!$D132*1200,"KES",'PT AND PC'!$D132*5.4,"GHS",'PT AND PC'!$D132*80,"XAF",'PT AND PC'!$D132*1.6,"ZAR",'PT AND PC'!$D132*15,"TZS",'PT AND PC'!$D132*0.2,"RWF",'PT AND PC'!$D132*0.4)</f>
        <v>#NAME?</v>
      </c>
      <c r="H132" s="24"/>
    </row>
    <row r="133" spans="1:9" ht="14.25" customHeight="1" x14ac:dyDescent="0.15">
      <c r="A133" s="71" t="s">
        <v>132</v>
      </c>
      <c r="B133" s="72">
        <v>45044</v>
      </c>
      <c r="C133" s="72" t="s">
        <v>58</v>
      </c>
      <c r="D133" s="72">
        <v>1690</v>
      </c>
      <c r="E133" s="72" t="e">
        <f t="array" aca="1" ref="E133" ca="1">_xludf.SWITCH('PT AND PC'!$C133,"NGN",'PT AND PC'!$D133,"USD",'PT AND PC'!$D133*1000,"GBP",'PT AND PC'!$D133*1200,"KES",'PT AND PC'!$D133*5.4,"GHS",'PT AND PC'!$D133*80,"XAF",'PT AND PC'!$D133*1.6,"ZAR",'PT AND PC'!$D133*15,"TZS",'PT AND PC'!$D133*0.2,"RWF",'PT AND PC'!$D133*0.4)</f>
        <v>#NAME?</v>
      </c>
      <c r="H133" s="24"/>
    </row>
    <row r="134" spans="1:9" ht="14.25" customHeight="1" x14ac:dyDescent="0.15">
      <c r="A134" s="69" t="s">
        <v>132</v>
      </c>
      <c r="B134" s="70">
        <v>45043</v>
      </c>
      <c r="C134" s="70" t="s">
        <v>56</v>
      </c>
      <c r="D134" s="70">
        <v>5500</v>
      </c>
      <c r="E134" s="70" t="e">
        <f t="array" aca="1" ref="E134" ca="1">_xludf.SWITCH('PT AND PC'!$C134,"NGN",'PT AND PC'!$D134,"USD",'PT AND PC'!$D134*1000,"GBP",'PT AND PC'!$D134*1200,"KES",'PT AND PC'!$D134*5.4,"GHS",'PT AND PC'!$D134*80,"XAF",'PT AND PC'!$D134*1.6,"ZAR",'PT AND PC'!$D134*15,"TZS",'PT AND PC'!$D134*0.2,"RWF",'PT AND PC'!$D134*0.4)</f>
        <v>#NAME?</v>
      </c>
      <c r="H134" s="24"/>
    </row>
    <row r="135" spans="1:9" ht="14.25" customHeight="1" x14ac:dyDescent="0.15">
      <c r="A135" s="71" t="s">
        <v>132</v>
      </c>
      <c r="B135" s="72">
        <v>45043</v>
      </c>
      <c r="C135" s="72" t="s">
        <v>30</v>
      </c>
      <c r="D135" s="72">
        <v>157</v>
      </c>
      <c r="E135" s="72" t="e">
        <f t="array" aca="1" ref="E135" ca="1">_xludf.SWITCH('PT AND PC'!$C135,"NGN",'PT AND PC'!$D135,"USD",'PT AND PC'!$D135*1000,"GBP",'PT AND PC'!$D135*1200,"KES",'PT AND PC'!$D135*5.4,"GHS",'PT AND PC'!$D135*80,"XAF",'PT AND PC'!$D135*1.6,"ZAR",'PT AND PC'!$D135*15,"TZS",'PT AND PC'!$D135*0.2,"RWF",'PT AND PC'!$D135*0.4)</f>
        <v>#NAME?</v>
      </c>
      <c r="H135" s="24"/>
    </row>
    <row r="136" spans="1:9" ht="14.25" customHeight="1" x14ac:dyDescent="0.15">
      <c r="A136" s="69" t="s">
        <v>132</v>
      </c>
      <c r="B136" s="70">
        <v>45042</v>
      </c>
      <c r="C136" s="70" t="s">
        <v>60</v>
      </c>
      <c r="D136" s="70">
        <v>14</v>
      </c>
      <c r="E136" s="70" t="e">
        <f t="array" aca="1" ref="E136" ca="1">_xludf.SWITCH('PT AND PC'!$C136,"NGN",'PT AND PC'!$D136,"USD",'PT AND PC'!$D136*1000,"GBP",'PT AND PC'!$D136*1200,"KES",'PT AND PC'!$D136*5.4,"GHS",'PT AND PC'!$D136*80,"XAF",'PT AND PC'!$D136*1.6,"ZAR",'PT AND PC'!$D136*15,"TZS",'PT AND PC'!$D136*0.2,"RWF",'PT AND PC'!$D136*0.4)</f>
        <v>#NAME?</v>
      </c>
      <c r="H136" s="24"/>
    </row>
    <row r="137" spans="1:9" ht="14.25" customHeight="1" x14ac:dyDescent="0.15">
      <c r="A137" s="71" t="s">
        <v>132</v>
      </c>
      <c r="B137" s="72">
        <v>45042</v>
      </c>
      <c r="C137" s="72" t="s">
        <v>56</v>
      </c>
      <c r="D137" s="72">
        <v>5500</v>
      </c>
      <c r="E137" s="72" t="e">
        <f t="array" aca="1" ref="E137" ca="1">_xludf.SWITCH('PT AND PC'!$C137,"NGN",'PT AND PC'!$D137,"USD",'PT AND PC'!$D137*1000,"GBP",'PT AND PC'!$D137*1200,"KES",'PT AND PC'!$D137*5.4,"GHS",'PT AND PC'!$D137*80,"XAF",'PT AND PC'!$D137*1.6,"ZAR",'PT AND PC'!$D137*15,"TZS",'PT AND PC'!$D137*0.2,"RWF",'PT AND PC'!$D137*0.4)</f>
        <v>#NAME?</v>
      </c>
      <c r="H137" s="24"/>
    </row>
    <row r="138" spans="1:9" ht="14.25" customHeight="1" x14ac:dyDescent="0.15">
      <c r="A138" s="69" t="s">
        <v>132</v>
      </c>
      <c r="B138" s="70">
        <v>45042</v>
      </c>
      <c r="C138" s="70" t="s">
        <v>60</v>
      </c>
      <c r="D138" s="70">
        <v>14</v>
      </c>
      <c r="E138" s="70" t="e">
        <f t="array" aca="1" ref="E138" ca="1">_xludf.SWITCH('PT AND PC'!$C138,"NGN",'PT AND PC'!$D138,"USD",'PT AND PC'!$D138*1000,"GBP",'PT AND PC'!$D138*1200,"KES",'PT AND PC'!$D138*5.4,"GHS",'PT AND PC'!$D138*80,"XAF",'PT AND PC'!$D138*1.6,"ZAR",'PT AND PC'!$D138*15,"TZS",'PT AND PC'!$D138*0.2,"RWF",'PT AND PC'!$D138*0.4)</f>
        <v>#NAME?</v>
      </c>
      <c r="H138" s="24"/>
    </row>
    <row r="139" spans="1:9" ht="14.25" customHeight="1" x14ac:dyDescent="0.15">
      <c r="A139" s="71" t="s">
        <v>132</v>
      </c>
      <c r="B139" s="72">
        <v>45041</v>
      </c>
      <c r="C139" s="72" t="s">
        <v>60</v>
      </c>
      <c r="D139" s="72">
        <v>14</v>
      </c>
      <c r="E139" s="72" t="e">
        <f t="array" aca="1" ref="E139" ca="1">_xludf.SWITCH('PT AND PC'!$C139,"NGN",'PT AND PC'!$D139,"USD",'PT AND PC'!$D139*1000,"GBP",'PT AND PC'!$D139*1200,"KES",'PT AND PC'!$D139*5.4,"GHS",'PT AND PC'!$D139*80,"XAF",'PT AND PC'!$D139*1.6,"ZAR",'PT AND PC'!$D139*15,"TZS",'PT AND PC'!$D139*0.2,"RWF",'PT AND PC'!$D139*0.4)</f>
        <v>#NAME?</v>
      </c>
      <c r="H139" s="24"/>
      <c r="I139" s="24"/>
    </row>
    <row r="140" spans="1:9" ht="14.25" customHeight="1" x14ac:dyDescent="0.15">
      <c r="A140" s="69" t="s">
        <v>132</v>
      </c>
      <c r="B140" s="70">
        <v>45040</v>
      </c>
      <c r="C140" s="70" t="s">
        <v>33</v>
      </c>
      <c r="D140" s="70">
        <v>9.3800000000000008</v>
      </c>
      <c r="E140" s="70" t="e">
        <f t="array" aca="1" ref="E140" ca="1">_xludf.SWITCH('PT AND PC'!$C140,"NGN",'PT AND PC'!$D140,"USD",'PT AND PC'!$D140*1000,"GBP",'PT AND PC'!$D140*1200,"KES",'PT AND PC'!$D140*5.4,"GHS",'PT AND PC'!$D140*80,"XAF",'PT AND PC'!$D140*1.6,"ZAR",'PT AND PC'!$D140*15,"TZS",'PT AND PC'!$D140*0.2,"RWF",'PT AND PC'!$D140*0.4)</f>
        <v>#NAME?</v>
      </c>
      <c r="H140" s="24"/>
      <c r="I140" s="24"/>
    </row>
    <row r="141" spans="1:9" ht="14.25" customHeight="1" x14ac:dyDescent="0.15">
      <c r="A141" s="71" t="s">
        <v>132</v>
      </c>
      <c r="B141" s="72">
        <v>45040</v>
      </c>
      <c r="C141" s="72" t="s">
        <v>58</v>
      </c>
      <c r="D141" s="72">
        <v>1683</v>
      </c>
      <c r="E141" s="72" t="e">
        <f t="array" aca="1" ref="E141" ca="1">_xludf.SWITCH('PT AND PC'!$C141,"NGN",'PT AND PC'!$D141,"USD",'PT AND PC'!$D141*1000,"GBP",'PT AND PC'!$D141*1200,"KES",'PT AND PC'!$D141*5.4,"GHS",'PT AND PC'!$D141*80,"XAF",'PT AND PC'!$D141*1.6,"ZAR",'PT AND PC'!$D141*15,"TZS",'PT AND PC'!$D141*0.2,"RWF",'PT AND PC'!$D141*0.4)</f>
        <v>#NAME?</v>
      </c>
      <c r="H141" s="24"/>
      <c r="I141" s="24"/>
    </row>
    <row r="142" spans="1:9" ht="14.25" customHeight="1" x14ac:dyDescent="0.15">
      <c r="A142" s="69" t="s">
        <v>132</v>
      </c>
      <c r="B142" s="70">
        <v>45040</v>
      </c>
      <c r="C142" s="70" t="s">
        <v>60</v>
      </c>
      <c r="D142" s="70">
        <v>14</v>
      </c>
      <c r="E142" s="70" t="e">
        <f t="array" aca="1" ref="E142" ca="1">_xludf.SWITCH('PT AND PC'!$C142,"NGN",'PT AND PC'!$D142,"USD",'PT AND PC'!$D142*1000,"GBP",'PT AND PC'!$D142*1200,"KES",'PT AND PC'!$D142*5.4,"GHS",'PT AND PC'!$D142*80,"XAF",'PT AND PC'!$D142*1.6,"ZAR",'PT AND PC'!$D142*15,"TZS",'PT AND PC'!$D142*0.2,"RWF",'PT AND PC'!$D142*0.4)</f>
        <v>#NAME?</v>
      </c>
      <c r="H142" s="24"/>
      <c r="I142" s="24"/>
    </row>
    <row r="143" spans="1:9" ht="14.25" customHeight="1" x14ac:dyDescent="0.15">
      <c r="A143" s="71" t="s">
        <v>132</v>
      </c>
      <c r="B143" s="72">
        <v>45037</v>
      </c>
      <c r="C143" s="72" t="s">
        <v>56</v>
      </c>
      <c r="D143" s="72">
        <v>5500</v>
      </c>
      <c r="E143" s="72" t="e">
        <f t="array" aca="1" ref="E143" ca="1">_xludf.SWITCH('PT AND PC'!$C143,"NGN",'PT AND PC'!$D143,"USD",'PT AND PC'!$D143*1000,"GBP",'PT AND PC'!$D143*1200,"KES",'PT AND PC'!$D143*5.4,"GHS",'PT AND PC'!$D143*80,"XAF",'PT AND PC'!$D143*1.6,"ZAR",'PT AND PC'!$D143*15,"TZS",'PT AND PC'!$D143*0.2,"RWF",'PT AND PC'!$D143*0.4)</f>
        <v>#NAME?</v>
      </c>
      <c r="H143" s="24"/>
      <c r="I143" s="24"/>
    </row>
    <row r="144" spans="1:9" ht="14.25" customHeight="1" x14ac:dyDescent="0.15">
      <c r="A144" s="69" t="s">
        <v>132</v>
      </c>
      <c r="B144" s="70">
        <v>45036</v>
      </c>
      <c r="C144" s="70" t="s">
        <v>60</v>
      </c>
      <c r="D144" s="70">
        <v>14</v>
      </c>
      <c r="E144" s="70" t="e">
        <f t="array" aca="1" ref="E144" ca="1">_xludf.SWITCH('PT AND PC'!$C144,"NGN",'PT AND PC'!$D144,"USD",'PT AND PC'!$D144*1000,"GBP",'PT AND PC'!$D144*1200,"KES",'PT AND PC'!$D144*5.4,"GHS",'PT AND PC'!$D144*80,"XAF",'PT AND PC'!$D144*1.6,"ZAR",'PT AND PC'!$D144*15,"TZS",'PT AND PC'!$D144*0.2,"RWF",'PT AND PC'!$D144*0.4)</f>
        <v>#NAME?</v>
      </c>
      <c r="H144" s="24"/>
      <c r="I144" s="24"/>
    </row>
    <row r="145" spans="1:9" ht="14.25" customHeight="1" x14ac:dyDescent="0.15">
      <c r="A145" s="71" t="s">
        <v>132</v>
      </c>
      <c r="B145" s="72">
        <v>45034</v>
      </c>
      <c r="C145" s="72" t="s">
        <v>56</v>
      </c>
      <c r="D145" s="72">
        <v>5500</v>
      </c>
      <c r="E145" s="72" t="e">
        <f t="array" aca="1" ref="E145" ca="1">_xludf.SWITCH('PT AND PC'!$C145,"NGN",'PT AND PC'!$D145,"USD",'PT AND PC'!$D145*1000,"GBP",'PT AND PC'!$D145*1200,"KES",'PT AND PC'!$D145*5.4,"GHS",'PT AND PC'!$D145*80,"XAF",'PT AND PC'!$D145*1.6,"ZAR",'PT AND PC'!$D145*15,"TZS",'PT AND PC'!$D145*0.2,"RWF",'PT AND PC'!$D145*0.4)</f>
        <v>#NAME?</v>
      </c>
      <c r="H145" s="24"/>
      <c r="I145" s="24"/>
    </row>
    <row r="146" spans="1:9" ht="14.25" customHeight="1" x14ac:dyDescent="0.15">
      <c r="A146" s="69" t="s">
        <v>132</v>
      </c>
      <c r="B146" s="70">
        <v>45034</v>
      </c>
      <c r="C146" s="70" t="s">
        <v>60</v>
      </c>
      <c r="D146" s="70">
        <v>14</v>
      </c>
      <c r="E146" s="70" t="e">
        <f t="array" aca="1" ref="E146" ca="1">_xludf.SWITCH('PT AND PC'!$C146,"NGN",'PT AND PC'!$D146,"USD",'PT AND PC'!$D146*1000,"GBP",'PT AND PC'!$D146*1200,"KES",'PT AND PC'!$D146*5.4,"GHS",'PT AND PC'!$D146*80,"XAF",'PT AND PC'!$D146*1.6,"ZAR",'PT AND PC'!$D146*15,"TZS",'PT AND PC'!$D146*0.2,"RWF",'PT AND PC'!$D146*0.4)</f>
        <v>#NAME?</v>
      </c>
      <c r="H146" s="24"/>
      <c r="I146" s="24"/>
    </row>
    <row r="147" spans="1:9" ht="14.25" customHeight="1" x14ac:dyDescent="0.15">
      <c r="A147" s="71" t="s">
        <v>132</v>
      </c>
      <c r="B147" s="72">
        <v>45034</v>
      </c>
      <c r="C147" s="72" t="s">
        <v>56</v>
      </c>
      <c r="D147" s="72">
        <v>5500</v>
      </c>
      <c r="E147" s="72" t="e">
        <f t="array" aca="1" ref="E147" ca="1">_xludf.SWITCH('PT AND PC'!$C147,"NGN",'PT AND PC'!$D147,"USD",'PT AND PC'!$D147*1000,"GBP",'PT AND PC'!$D147*1200,"KES",'PT AND PC'!$D147*5.4,"GHS",'PT AND PC'!$D147*80,"XAF",'PT AND PC'!$D147*1.6,"ZAR",'PT AND PC'!$D147*15,"TZS",'PT AND PC'!$D147*0.2,"RWF",'PT AND PC'!$D147*0.4)</f>
        <v>#NAME?</v>
      </c>
      <c r="H147" s="24"/>
      <c r="I147" s="24"/>
    </row>
    <row r="148" spans="1:9" ht="14.25" customHeight="1" x14ac:dyDescent="0.15">
      <c r="A148" s="69" t="s">
        <v>132</v>
      </c>
      <c r="B148" s="70">
        <v>45034</v>
      </c>
      <c r="C148" s="70" t="s">
        <v>60</v>
      </c>
      <c r="D148" s="70">
        <v>14</v>
      </c>
      <c r="E148" s="70" t="e">
        <f t="array" aca="1" ref="E148" ca="1">_xludf.SWITCH('PT AND PC'!$C148,"NGN",'PT AND PC'!$D148,"USD",'PT AND PC'!$D148*1000,"GBP",'PT AND PC'!$D148*1200,"KES",'PT AND PC'!$D148*5.4,"GHS",'PT AND PC'!$D148*80,"XAF",'PT AND PC'!$D148*1.6,"ZAR",'PT AND PC'!$D148*15,"TZS",'PT AND PC'!$D148*0.2,"RWF",'PT AND PC'!$D148*0.4)</f>
        <v>#NAME?</v>
      </c>
      <c r="H148" s="24"/>
      <c r="I148" s="24"/>
    </row>
    <row r="149" spans="1:9" ht="14.25" customHeight="1" x14ac:dyDescent="0.15">
      <c r="A149" s="71" t="s">
        <v>132</v>
      </c>
      <c r="B149" s="72">
        <v>45033</v>
      </c>
      <c r="C149" s="72" t="s">
        <v>56</v>
      </c>
      <c r="D149" s="72">
        <v>5500</v>
      </c>
      <c r="E149" s="72" t="e">
        <f t="array" aca="1" ref="E149" ca="1">_xludf.SWITCH('PT AND PC'!$C149,"NGN",'PT AND PC'!$D149,"USD",'PT AND PC'!$D149*1000,"GBP",'PT AND PC'!$D149*1200,"KES",'PT AND PC'!$D149*5.4,"GHS",'PT AND PC'!$D149*80,"XAF",'PT AND PC'!$D149*1.6,"ZAR",'PT AND PC'!$D149*15,"TZS",'PT AND PC'!$D149*0.2,"RWF",'PT AND PC'!$D149*0.4)</f>
        <v>#NAME?</v>
      </c>
      <c r="H149" s="24"/>
      <c r="I149" s="24"/>
    </row>
    <row r="150" spans="1:9" ht="14.25" customHeight="1" x14ac:dyDescent="0.15">
      <c r="A150" s="69" t="s">
        <v>132</v>
      </c>
      <c r="B150" s="70">
        <v>45033</v>
      </c>
      <c r="C150" s="70" t="s">
        <v>59</v>
      </c>
      <c r="D150" s="70">
        <v>213.78</v>
      </c>
      <c r="E150" s="70" t="e">
        <f t="array" aca="1" ref="E150" ca="1">_xludf.SWITCH('PT AND PC'!$C150,"NGN",'PT AND PC'!$D150,"USD",'PT AND PC'!$D150*1000,"GBP",'PT AND PC'!$D150*1200,"KES",'PT AND PC'!$D150*5.4,"GHS",'PT AND PC'!$D150*80,"XAF",'PT AND PC'!$D150*1.6,"ZAR",'PT AND PC'!$D150*15,"TZS",'PT AND PC'!$D150*0.2,"RWF",'PT AND PC'!$D150*0.4)</f>
        <v>#NAME?</v>
      </c>
      <c r="H150" s="24"/>
      <c r="I150" s="24"/>
    </row>
    <row r="151" spans="1:9" ht="14.25" customHeight="1" x14ac:dyDescent="0.15">
      <c r="A151" s="71" t="s">
        <v>132</v>
      </c>
      <c r="B151" s="72">
        <v>45033</v>
      </c>
      <c r="C151" s="72" t="s">
        <v>56</v>
      </c>
      <c r="D151" s="72">
        <v>5500</v>
      </c>
      <c r="E151" s="72" t="e">
        <f t="array" aca="1" ref="E151" ca="1">_xludf.SWITCH('PT AND PC'!$C151,"NGN",'PT AND PC'!$D151,"USD",'PT AND PC'!$D151*1000,"GBP",'PT AND PC'!$D151*1200,"KES",'PT AND PC'!$D151*5.4,"GHS",'PT AND PC'!$D151*80,"XAF",'PT AND PC'!$D151*1.6,"ZAR",'PT AND PC'!$D151*15,"TZS",'PT AND PC'!$D151*0.2,"RWF",'PT AND PC'!$D151*0.4)</f>
        <v>#NAME?</v>
      </c>
      <c r="H151" s="24"/>
      <c r="I151" s="24"/>
    </row>
    <row r="152" spans="1:9" ht="14.25" customHeight="1" x14ac:dyDescent="0.15">
      <c r="A152" s="69" t="s">
        <v>132</v>
      </c>
      <c r="B152" s="70">
        <v>45033</v>
      </c>
      <c r="C152" s="70" t="s">
        <v>56</v>
      </c>
      <c r="D152" s="70">
        <v>5500</v>
      </c>
      <c r="E152" s="70" t="e">
        <f t="array" aca="1" ref="E152" ca="1">_xludf.SWITCH('PT AND PC'!$C152,"NGN",'PT AND PC'!$D152,"USD",'PT AND PC'!$D152*1000,"GBP",'PT AND PC'!$D152*1200,"KES",'PT AND PC'!$D152*5.4,"GHS",'PT AND PC'!$D152*80,"XAF",'PT AND PC'!$D152*1.6,"ZAR",'PT AND PC'!$D152*15,"TZS",'PT AND PC'!$D152*0.2,"RWF",'PT AND PC'!$D152*0.4)</f>
        <v>#NAME?</v>
      </c>
      <c r="H152" s="24"/>
      <c r="I152" s="24"/>
    </row>
    <row r="153" spans="1:9" ht="14.25" customHeight="1" x14ac:dyDescent="0.15">
      <c r="A153" s="71" t="s">
        <v>132</v>
      </c>
      <c r="B153" s="72">
        <v>45032</v>
      </c>
      <c r="C153" s="72" t="s">
        <v>33</v>
      </c>
      <c r="D153" s="72">
        <v>9.42</v>
      </c>
      <c r="E153" s="72" t="e">
        <f t="array" aca="1" ref="E153" ca="1">_xludf.SWITCH('PT AND PC'!$C153,"NGN",'PT AND PC'!$D153,"USD",'PT AND PC'!$D153*1000,"GBP",'PT AND PC'!$D153*1200,"KES",'PT AND PC'!$D153*5.4,"GHS",'PT AND PC'!$D153*80,"XAF",'PT AND PC'!$D153*1.6,"ZAR",'PT AND PC'!$D153*15,"TZS",'PT AND PC'!$D153*0.2,"RWF",'PT AND PC'!$D153*0.4)</f>
        <v>#NAME?</v>
      </c>
      <c r="H153" s="24"/>
      <c r="I153" s="24"/>
    </row>
    <row r="154" spans="1:9" ht="14.25" customHeight="1" x14ac:dyDescent="0.15">
      <c r="A154" s="69" t="s">
        <v>132</v>
      </c>
      <c r="B154" s="70">
        <v>45032</v>
      </c>
      <c r="C154" s="70" t="s">
        <v>56</v>
      </c>
      <c r="D154" s="70">
        <v>5500</v>
      </c>
      <c r="E154" s="70" t="e">
        <f t="array" aca="1" ref="E154" ca="1">_xludf.SWITCH('PT AND PC'!$C154,"NGN",'PT AND PC'!$D154,"USD",'PT AND PC'!$D154*1000,"GBP",'PT AND PC'!$D154*1200,"KES",'PT AND PC'!$D154*5.4,"GHS",'PT AND PC'!$D154*80,"XAF",'PT AND PC'!$D154*1.6,"ZAR",'PT AND PC'!$D154*15,"TZS",'PT AND PC'!$D154*0.2,"RWF",'PT AND PC'!$D154*0.4)</f>
        <v>#NAME?</v>
      </c>
      <c r="H154" s="24"/>
      <c r="I154" s="24"/>
    </row>
    <row r="155" spans="1:9" ht="14.25" customHeight="1" x14ac:dyDescent="0.15">
      <c r="A155" s="71" t="s">
        <v>132</v>
      </c>
      <c r="B155" s="72">
        <v>45032</v>
      </c>
      <c r="C155" s="72" t="s">
        <v>60</v>
      </c>
      <c r="D155" s="72">
        <v>14</v>
      </c>
      <c r="E155" s="72" t="e">
        <f t="array" aca="1" ref="E155" ca="1">_xludf.SWITCH('PT AND PC'!$C155,"NGN",'PT AND PC'!$D155,"USD",'PT AND PC'!$D155*1000,"GBP",'PT AND PC'!$D155*1200,"KES",'PT AND PC'!$D155*5.4,"GHS",'PT AND PC'!$D155*80,"XAF",'PT AND PC'!$D155*1.6,"ZAR",'PT AND PC'!$D155*15,"TZS",'PT AND PC'!$D155*0.2,"RWF",'PT AND PC'!$D155*0.4)</f>
        <v>#NAME?</v>
      </c>
      <c r="H155" s="24"/>
      <c r="I155" s="24"/>
    </row>
    <row r="156" spans="1:9" ht="14.25" customHeight="1" x14ac:dyDescent="0.15">
      <c r="A156" s="69" t="s">
        <v>132</v>
      </c>
      <c r="B156" s="70">
        <v>45032</v>
      </c>
      <c r="C156" s="70" t="s">
        <v>56</v>
      </c>
      <c r="D156" s="70">
        <v>5500</v>
      </c>
      <c r="E156" s="70" t="e">
        <f t="array" aca="1" ref="E156" ca="1">_xludf.SWITCH('PT AND PC'!$C156,"NGN",'PT AND PC'!$D156,"USD",'PT AND PC'!$D156*1000,"GBP",'PT AND PC'!$D156*1200,"KES",'PT AND PC'!$D156*5.4,"GHS",'PT AND PC'!$D156*80,"XAF",'PT AND PC'!$D156*1.6,"ZAR",'PT AND PC'!$D156*15,"TZS",'PT AND PC'!$D156*0.2,"RWF",'PT AND PC'!$D156*0.4)</f>
        <v>#NAME?</v>
      </c>
      <c r="H156" s="24"/>
      <c r="I156" s="24"/>
    </row>
    <row r="157" spans="1:9" ht="14.25" customHeight="1" x14ac:dyDescent="0.15">
      <c r="A157" s="71" t="s">
        <v>132</v>
      </c>
      <c r="B157" s="72">
        <v>45032</v>
      </c>
      <c r="C157" s="72" t="s">
        <v>60</v>
      </c>
      <c r="D157" s="72">
        <v>14</v>
      </c>
      <c r="E157" s="72" t="e">
        <f t="array" aca="1" ref="E157" ca="1">_xludf.SWITCH('PT AND PC'!$C157,"NGN",'PT AND PC'!$D157,"USD",'PT AND PC'!$D157*1000,"GBP",'PT AND PC'!$D157*1200,"KES",'PT AND PC'!$D157*5.4,"GHS",'PT AND PC'!$D157*80,"XAF",'PT AND PC'!$D157*1.6,"ZAR",'PT AND PC'!$D157*15,"TZS",'PT AND PC'!$D157*0.2,"RWF",'PT AND PC'!$D157*0.4)</f>
        <v>#NAME?</v>
      </c>
      <c r="H157" s="24"/>
      <c r="I157" s="24"/>
    </row>
    <row r="158" spans="1:9" ht="14.25" customHeight="1" x14ac:dyDescent="0.15">
      <c r="A158" s="69" t="s">
        <v>132</v>
      </c>
      <c r="B158" s="70">
        <v>45032</v>
      </c>
      <c r="C158" s="70" t="s">
        <v>58</v>
      </c>
      <c r="D158" s="70">
        <v>1658</v>
      </c>
      <c r="E158" s="70" t="e">
        <f t="array" aca="1" ref="E158" ca="1">_xludf.SWITCH('PT AND PC'!$C158,"NGN",'PT AND PC'!$D158,"USD",'PT AND PC'!$D158*1000,"GBP",'PT AND PC'!$D158*1200,"KES",'PT AND PC'!$D158*5.4,"GHS",'PT AND PC'!$D158*80,"XAF",'PT AND PC'!$D158*1.6,"ZAR",'PT AND PC'!$D158*15,"TZS",'PT AND PC'!$D158*0.2,"RWF",'PT AND PC'!$D158*0.4)</f>
        <v>#NAME?</v>
      </c>
      <c r="H158" s="24"/>
      <c r="I158" s="24"/>
    </row>
    <row r="159" spans="1:9" ht="14.25" customHeight="1" x14ac:dyDescent="0.15">
      <c r="A159" s="71" t="s">
        <v>132</v>
      </c>
      <c r="B159" s="72">
        <v>45031</v>
      </c>
      <c r="C159" s="72" t="s">
        <v>33</v>
      </c>
      <c r="D159" s="72">
        <v>9.31</v>
      </c>
      <c r="E159" s="72" t="e">
        <f t="array" aca="1" ref="E159" ca="1">_xludf.SWITCH('PT AND PC'!$C159,"NGN",'PT AND PC'!$D159,"USD",'PT AND PC'!$D159*1000,"GBP",'PT AND PC'!$D159*1200,"KES",'PT AND PC'!$D159*5.4,"GHS",'PT AND PC'!$D159*80,"XAF",'PT AND PC'!$D159*1.6,"ZAR",'PT AND PC'!$D159*15,"TZS",'PT AND PC'!$D159*0.2,"RWF",'PT AND PC'!$D159*0.4)</f>
        <v>#NAME?</v>
      </c>
      <c r="H159" s="24"/>
      <c r="I159" s="24"/>
    </row>
    <row r="160" spans="1:9" ht="14.25" customHeight="1" x14ac:dyDescent="0.15">
      <c r="A160" s="69" t="s">
        <v>132</v>
      </c>
      <c r="B160" s="70">
        <v>45031</v>
      </c>
      <c r="C160" s="70" t="s">
        <v>56</v>
      </c>
      <c r="D160" s="70">
        <v>5500</v>
      </c>
      <c r="E160" s="70" t="e">
        <f t="array" aca="1" ref="E160" ca="1">_xludf.SWITCH('PT AND PC'!$C160,"NGN",'PT AND PC'!$D160,"USD",'PT AND PC'!$D160*1000,"GBP",'PT AND PC'!$D160*1200,"KES",'PT AND PC'!$D160*5.4,"GHS",'PT AND PC'!$D160*80,"XAF",'PT AND PC'!$D160*1.6,"ZAR",'PT AND PC'!$D160*15,"TZS",'PT AND PC'!$D160*0.2,"RWF",'PT AND PC'!$D160*0.4)</f>
        <v>#NAME?</v>
      </c>
      <c r="H160" s="24"/>
      <c r="I160" s="24"/>
    </row>
    <row r="161" spans="1:9" ht="14.25" customHeight="1" x14ac:dyDescent="0.15">
      <c r="A161" s="71" t="s">
        <v>132</v>
      </c>
      <c r="B161" s="72">
        <v>45031</v>
      </c>
      <c r="C161" s="72" t="s">
        <v>33</v>
      </c>
      <c r="D161" s="72">
        <v>9.31</v>
      </c>
      <c r="E161" s="72" t="e">
        <f t="array" aca="1" ref="E161" ca="1">_xludf.SWITCH('PT AND PC'!$C161,"NGN",'PT AND PC'!$D161,"USD",'PT AND PC'!$D161*1000,"GBP",'PT AND PC'!$D161*1200,"KES",'PT AND PC'!$D161*5.4,"GHS",'PT AND PC'!$D161*80,"XAF",'PT AND PC'!$D161*1.6,"ZAR",'PT AND PC'!$D161*15,"TZS",'PT AND PC'!$D161*0.2,"RWF",'PT AND PC'!$D161*0.4)</f>
        <v>#NAME?</v>
      </c>
      <c r="H161" s="24"/>
      <c r="I161" s="24"/>
    </row>
    <row r="162" spans="1:9" ht="14.25" customHeight="1" x14ac:dyDescent="0.15">
      <c r="A162" s="69" t="s">
        <v>132</v>
      </c>
      <c r="B162" s="70">
        <v>45031</v>
      </c>
      <c r="C162" s="70" t="s">
        <v>56</v>
      </c>
      <c r="D162" s="70">
        <v>5500</v>
      </c>
      <c r="E162" s="70" t="e">
        <f t="array" aca="1" ref="E162" ca="1">_xludf.SWITCH('PT AND PC'!$C162,"NGN",'PT AND PC'!$D162,"USD",'PT AND PC'!$D162*1000,"GBP",'PT AND PC'!$D162*1200,"KES",'PT AND PC'!$D162*5.4,"GHS",'PT AND PC'!$D162*80,"XAF",'PT AND PC'!$D162*1.6,"ZAR",'PT AND PC'!$D162*15,"TZS",'PT AND PC'!$D162*0.2,"RWF",'PT AND PC'!$D162*0.4)</f>
        <v>#NAME?</v>
      </c>
      <c r="H162" s="24"/>
      <c r="I162" s="24"/>
    </row>
    <row r="163" spans="1:9" ht="14.25" customHeight="1" x14ac:dyDescent="0.15">
      <c r="A163" s="71" t="s">
        <v>132</v>
      </c>
      <c r="B163" s="72">
        <v>45030</v>
      </c>
      <c r="C163" s="72" t="s">
        <v>56</v>
      </c>
      <c r="D163" s="72">
        <v>5500</v>
      </c>
      <c r="E163" s="72" t="e">
        <f t="array" aca="1" ref="E163" ca="1">_xludf.SWITCH('PT AND PC'!$C163,"NGN",'PT AND PC'!$D163,"USD",'PT AND PC'!$D163*1000,"GBP",'PT AND PC'!$D163*1200,"KES",'PT AND PC'!$D163*5.4,"GHS",'PT AND PC'!$D163*80,"XAF",'PT AND PC'!$D163*1.6,"ZAR",'PT AND PC'!$D163*15,"TZS",'PT AND PC'!$D163*0.2,"RWF",'PT AND PC'!$D163*0.4)</f>
        <v>#NAME?</v>
      </c>
      <c r="H163" s="24"/>
      <c r="I163" s="24"/>
    </row>
    <row r="164" spans="1:9" ht="14.25" customHeight="1" x14ac:dyDescent="0.15">
      <c r="A164" s="69" t="s">
        <v>132</v>
      </c>
      <c r="B164" s="70">
        <v>45030</v>
      </c>
      <c r="C164" s="70" t="s">
        <v>58</v>
      </c>
      <c r="D164" s="70">
        <v>1672</v>
      </c>
      <c r="E164" s="70" t="e">
        <f t="array" aca="1" ref="E164" ca="1">_xludf.SWITCH('PT AND PC'!$C164,"NGN",'PT AND PC'!$D164,"USD",'PT AND PC'!$D164*1000,"GBP",'PT AND PC'!$D164*1200,"KES",'PT AND PC'!$D164*5.4,"GHS",'PT AND PC'!$D164*80,"XAF",'PT AND PC'!$D164*1.6,"ZAR",'PT AND PC'!$D164*15,"TZS",'PT AND PC'!$D164*0.2,"RWF",'PT AND PC'!$D164*0.4)</f>
        <v>#NAME?</v>
      </c>
      <c r="H164" s="24"/>
      <c r="I164" s="24"/>
    </row>
    <row r="165" spans="1:9" ht="14.25" customHeight="1" x14ac:dyDescent="0.15">
      <c r="A165" s="71" t="s">
        <v>132</v>
      </c>
      <c r="B165" s="72">
        <v>45030</v>
      </c>
      <c r="C165" s="72" t="s">
        <v>56</v>
      </c>
      <c r="D165" s="72">
        <v>5500</v>
      </c>
      <c r="E165" s="72" t="e">
        <f t="array" aca="1" ref="E165" ca="1">_xludf.SWITCH('PT AND PC'!$C165,"NGN",'PT AND PC'!$D165,"USD",'PT AND PC'!$D165*1000,"GBP",'PT AND PC'!$D165*1200,"KES",'PT AND PC'!$D165*5.4,"GHS",'PT AND PC'!$D165*80,"XAF",'PT AND PC'!$D165*1.6,"ZAR",'PT AND PC'!$D165*15,"TZS",'PT AND PC'!$D165*0.2,"RWF",'PT AND PC'!$D165*0.4)</f>
        <v>#NAME?</v>
      </c>
      <c r="H165" s="24"/>
      <c r="I165" s="24"/>
    </row>
    <row r="166" spans="1:9" ht="14.25" customHeight="1" x14ac:dyDescent="0.15">
      <c r="A166" s="69" t="s">
        <v>132</v>
      </c>
      <c r="B166" s="70">
        <v>45030</v>
      </c>
      <c r="C166" s="70" t="s">
        <v>56</v>
      </c>
      <c r="D166" s="70">
        <v>5500</v>
      </c>
      <c r="E166" s="70" t="e">
        <f t="array" aca="1" ref="E166" ca="1">_xludf.SWITCH('PT AND PC'!$C166,"NGN",'PT AND PC'!$D166,"USD",'PT AND PC'!$D166*1000,"GBP",'PT AND PC'!$D166*1200,"KES",'PT AND PC'!$D166*5.4,"GHS",'PT AND PC'!$D166*80,"XAF",'PT AND PC'!$D166*1.6,"ZAR",'PT AND PC'!$D166*15,"TZS",'PT AND PC'!$D166*0.2,"RWF",'PT AND PC'!$D166*0.4)</f>
        <v>#NAME?</v>
      </c>
      <c r="H166" s="24"/>
      <c r="I166" s="24"/>
    </row>
    <row r="167" spans="1:9" ht="14.25" customHeight="1" x14ac:dyDescent="0.15">
      <c r="A167" s="71" t="s">
        <v>132</v>
      </c>
      <c r="B167" s="72">
        <v>45030</v>
      </c>
      <c r="C167" s="72" t="s">
        <v>56</v>
      </c>
      <c r="D167" s="72">
        <v>5500</v>
      </c>
      <c r="E167" s="72" t="e">
        <f t="array" aca="1" ref="E167" ca="1">_xludf.SWITCH('PT AND PC'!$C167,"NGN",'PT AND PC'!$D167,"USD",'PT AND PC'!$D167*1000,"GBP",'PT AND PC'!$D167*1200,"KES",'PT AND PC'!$D167*5.4,"GHS",'PT AND PC'!$D167*80,"XAF",'PT AND PC'!$D167*1.6,"ZAR",'PT AND PC'!$D167*15,"TZS",'PT AND PC'!$D167*0.2,"RWF",'PT AND PC'!$D167*0.4)</f>
        <v>#NAME?</v>
      </c>
      <c r="H167" s="24"/>
      <c r="I167" s="24"/>
    </row>
    <row r="168" spans="1:9" ht="14.25" customHeight="1" x14ac:dyDescent="0.15">
      <c r="A168" s="69" t="s">
        <v>132</v>
      </c>
      <c r="B168" s="70">
        <v>45029</v>
      </c>
      <c r="C168" s="70" t="s">
        <v>60</v>
      </c>
      <c r="D168" s="70">
        <v>14</v>
      </c>
      <c r="E168" s="70" t="e">
        <f t="array" aca="1" ref="E168" ca="1">_xludf.SWITCH('PT AND PC'!$C168,"NGN",'PT AND PC'!$D168,"USD",'PT AND PC'!$D168*1000,"GBP",'PT AND PC'!$D168*1200,"KES",'PT AND PC'!$D168*5.4,"GHS",'PT AND PC'!$D168*80,"XAF",'PT AND PC'!$D168*1.6,"ZAR",'PT AND PC'!$D168*15,"TZS",'PT AND PC'!$D168*0.2,"RWF",'PT AND PC'!$D168*0.4)</f>
        <v>#NAME?</v>
      </c>
      <c r="H168" s="24"/>
      <c r="I168" s="24"/>
    </row>
    <row r="169" spans="1:9" ht="14.25" customHeight="1" x14ac:dyDescent="0.15">
      <c r="A169" s="71" t="s">
        <v>132</v>
      </c>
      <c r="B169" s="72">
        <v>45029</v>
      </c>
      <c r="C169" s="72" t="s">
        <v>56</v>
      </c>
      <c r="D169" s="72">
        <v>5500</v>
      </c>
      <c r="E169" s="72" t="e">
        <f t="array" aca="1" ref="E169" ca="1">_xludf.SWITCH('PT AND PC'!$C169,"NGN",'PT AND PC'!$D169,"USD",'PT AND PC'!$D169*1000,"GBP",'PT AND PC'!$D169*1200,"KES",'PT AND PC'!$D169*5.4,"GHS",'PT AND PC'!$D169*80,"XAF",'PT AND PC'!$D169*1.6,"ZAR",'PT AND PC'!$D169*15,"TZS",'PT AND PC'!$D169*0.2,"RWF",'PT AND PC'!$D169*0.4)</f>
        <v>#NAME?</v>
      </c>
      <c r="H169" s="24"/>
      <c r="I169" s="24"/>
    </row>
    <row r="170" spans="1:9" ht="14.25" customHeight="1" x14ac:dyDescent="0.15">
      <c r="A170" s="69" t="s">
        <v>132</v>
      </c>
      <c r="B170" s="70">
        <v>45028</v>
      </c>
      <c r="C170" s="70" t="s">
        <v>33</v>
      </c>
      <c r="D170" s="70">
        <v>9.3800000000000008</v>
      </c>
      <c r="E170" s="70" t="e">
        <f t="array" aca="1" ref="E170" ca="1">_xludf.SWITCH('PT AND PC'!$C170,"NGN",'PT AND PC'!$D170,"USD",'PT AND PC'!$D170*1000,"GBP",'PT AND PC'!$D170*1200,"KES",'PT AND PC'!$D170*5.4,"GHS",'PT AND PC'!$D170*80,"XAF",'PT AND PC'!$D170*1.6,"ZAR",'PT AND PC'!$D170*15,"TZS",'PT AND PC'!$D170*0.2,"RWF",'PT AND PC'!$D170*0.4)</f>
        <v>#NAME?</v>
      </c>
      <c r="H170" s="24"/>
      <c r="I170" s="24"/>
    </row>
    <row r="171" spans="1:9" ht="14.25" customHeight="1" x14ac:dyDescent="0.15">
      <c r="A171" s="71" t="s">
        <v>132</v>
      </c>
      <c r="B171" s="72">
        <v>45028</v>
      </c>
      <c r="C171" s="72" t="s">
        <v>56</v>
      </c>
      <c r="D171" s="72">
        <v>5500</v>
      </c>
      <c r="E171" s="72" t="e">
        <f t="array" aca="1" ref="E171" ca="1">_xludf.SWITCH('PT AND PC'!$C171,"NGN",'PT AND PC'!$D171,"USD",'PT AND PC'!$D171*1000,"GBP",'PT AND PC'!$D171*1200,"KES",'PT AND PC'!$D171*5.4,"GHS",'PT AND PC'!$D171*80,"XAF",'PT AND PC'!$D171*1.6,"ZAR",'PT AND PC'!$D171*15,"TZS",'PT AND PC'!$D171*0.2,"RWF",'PT AND PC'!$D171*0.4)</f>
        <v>#NAME?</v>
      </c>
      <c r="H171" s="24"/>
      <c r="I171" s="24"/>
    </row>
    <row r="172" spans="1:9" ht="14.25" customHeight="1" x14ac:dyDescent="0.15">
      <c r="A172" s="69" t="s">
        <v>132</v>
      </c>
      <c r="B172" s="70">
        <v>45028</v>
      </c>
      <c r="C172" s="70" t="s">
        <v>56</v>
      </c>
      <c r="D172" s="70">
        <v>5500</v>
      </c>
      <c r="E172" s="70" t="e">
        <f t="array" aca="1" ref="E172" ca="1">_xludf.SWITCH('PT AND PC'!$C172,"NGN",'PT AND PC'!$D172,"USD",'PT AND PC'!$D172*1000,"GBP",'PT AND PC'!$D172*1200,"KES",'PT AND PC'!$D172*5.4,"GHS",'PT AND PC'!$D172*80,"XAF",'PT AND PC'!$D172*1.6,"ZAR",'PT AND PC'!$D172*15,"TZS",'PT AND PC'!$D172*0.2,"RWF",'PT AND PC'!$D172*0.4)</f>
        <v>#NAME?</v>
      </c>
      <c r="H172" s="24"/>
      <c r="I172" s="24"/>
    </row>
    <row r="173" spans="1:9" ht="14.25" customHeight="1" x14ac:dyDescent="0.15">
      <c r="A173" s="71" t="s">
        <v>132</v>
      </c>
      <c r="B173" s="72">
        <v>45028</v>
      </c>
      <c r="C173" s="72" t="s">
        <v>56</v>
      </c>
      <c r="D173" s="72">
        <v>5500</v>
      </c>
      <c r="E173" s="72" t="e">
        <f t="array" aca="1" ref="E173" ca="1">_xludf.SWITCH('PT AND PC'!$C173,"NGN",'PT AND PC'!$D173,"USD",'PT AND PC'!$D173*1000,"GBP",'PT AND PC'!$D173*1200,"KES",'PT AND PC'!$D173*5.4,"GHS",'PT AND PC'!$D173*80,"XAF",'PT AND PC'!$D173*1.6,"ZAR",'PT AND PC'!$D173*15,"TZS",'PT AND PC'!$D173*0.2,"RWF",'PT AND PC'!$D173*0.4)</f>
        <v>#NAME?</v>
      </c>
      <c r="H173" s="24"/>
      <c r="I173" s="24"/>
    </row>
    <row r="174" spans="1:9" ht="14.25" customHeight="1" x14ac:dyDescent="0.15">
      <c r="A174" s="69" t="s">
        <v>132</v>
      </c>
      <c r="B174" s="70">
        <v>45028</v>
      </c>
      <c r="C174" s="70" t="s">
        <v>56</v>
      </c>
      <c r="D174" s="70">
        <v>5500</v>
      </c>
      <c r="E174" s="70" t="e">
        <f t="array" aca="1" ref="E174" ca="1">_xludf.SWITCH('PT AND PC'!$C174,"NGN",'PT AND PC'!$D174,"USD",'PT AND PC'!$D174*1000,"GBP",'PT AND PC'!$D174*1200,"KES",'PT AND PC'!$D174*5.4,"GHS",'PT AND PC'!$D174*80,"XAF",'PT AND PC'!$D174*1.6,"ZAR",'PT AND PC'!$D174*15,"TZS",'PT AND PC'!$D174*0.2,"RWF",'PT AND PC'!$D174*0.4)</f>
        <v>#NAME?</v>
      </c>
      <c r="H174" s="24"/>
      <c r="I174" s="24"/>
    </row>
    <row r="175" spans="1:9" ht="14.25" customHeight="1" x14ac:dyDescent="0.15">
      <c r="A175" s="71" t="s">
        <v>132</v>
      </c>
      <c r="B175" s="72">
        <v>45028</v>
      </c>
      <c r="C175" s="72" t="s">
        <v>56</v>
      </c>
      <c r="D175" s="72">
        <v>5500</v>
      </c>
      <c r="E175" s="72" t="e">
        <f t="array" aca="1" ref="E175" ca="1">_xludf.SWITCH('PT AND PC'!$C175,"NGN",'PT AND PC'!$D175,"USD",'PT AND PC'!$D175*1000,"GBP",'PT AND PC'!$D175*1200,"KES",'PT AND PC'!$D175*5.4,"GHS",'PT AND PC'!$D175*80,"XAF",'PT AND PC'!$D175*1.6,"ZAR",'PT AND PC'!$D175*15,"TZS",'PT AND PC'!$D175*0.2,"RWF",'PT AND PC'!$D175*0.4)</f>
        <v>#NAME?</v>
      </c>
      <c r="H175" s="24"/>
      <c r="I175" s="24"/>
    </row>
    <row r="176" spans="1:9" ht="14.25" customHeight="1" x14ac:dyDescent="0.15">
      <c r="A176" s="69" t="s">
        <v>132</v>
      </c>
      <c r="B176" s="70">
        <v>45027</v>
      </c>
      <c r="C176" s="70" t="s">
        <v>56</v>
      </c>
      <c r="D176" s="70">
        <v>5500</v>
      </c>
      <c r="E176" s="70" t="e">
        <f t="array" aca="1" ref="E176" ca="1">_xludf.SWITCH('PT AND PC'!$C176,"NGN",'PT AND PC'!$D176,"USD",'PT AND PC'!$D176*1000,"GBP",'PT AND PC'!$D176*1200,"KES",'PT AND PC'!$D176*5.4,"GHS",'PT AND PC'!$D176*80,"XAF",'PT AND PC'!$D176*1.6,"ZAR",'PT AND PC'!$D176*15,"TZS",'PT AND PC'!$D176*0.2,"RWF",'PT AND PC'!$D176*0.4)</f>
        <v>#NAME?</v>
      </c>
      <c r="H176" s="24"/>
      <c r="I176" s="24"/>
    </row>
    <row r="177" spans="1:9" ht="14.25" customHeight="1" x14ac:dyDescent="0.15">
      <c r="A177" s="71" t="s">
        <v>55</v>
      </c>
      <c r="B177" s="72">
        <v>45107</v>
      </c>
      <c r="C177" s="72" t="s">
        <v>30</v>
      </c>
      <c r="D177" s="72">
        <v>59</v>
      </c>
      <c r="E177" s="72" t="e">
        <f t="array" aca="1" ref="E177" ca="1">_xludf.SWITCH('PT AND PC'!$C177,"NGN",'PT AND PC'!$D177,"USD",'PT AND PC'!$D177*1000,"GBP",'PT AND PC'!$D177*1200,"KES",'PT AND PC'!$D177*5.4,"GHS",'PT AND PC'!$D177*80,"XAF",'PT AND PC'!$D177*1.6,"ZAR",'PT AND PC'!$D177*15,"TZS",'PT AND PC'!$D177*0.2,"RWF",'PT AND PC'!$D177*0.4)</f>
        <v>#NAME?</v>
      </c>
      <c r="H177" s="24"/>
      <c r="I177" s="24"/>
    </row>
    <row r="178" spans="1:9" ht="14.25" customHeight="1" x14ac:dyDescent="0.15">
      <c r="A178" s="69" t="s">
        <v>55</v>
      </c>
      <c r="B178" s="70">
        <v>45107</v>
      </c>
      <c r="C178" s="70" t="s">
        <v>30</v>
      </c>
      <c r="D178" s="70">
        <v>59</v>
      </c>
      <c r="E178" s="70" t="e">
        <f t="array" aca="1" ref="E178" ca="1">_xludf.SWITCH('PT AND PC'!$C178,"NGN",'PT AND PC'!$D178,"USD",'PT AND PC'!$D178*1000,"GBP",'PT AND PC'!$D178*1200,"KES",'PT AND PC'!$D178*5.4,"GHS",'PT AND PC'!$D178*80,"XAF",'PT AND PC'!$D178*1.6,"ZAR",'PT AND PC'!$D178*15,"TZS",'PT AND PC'!$D178*0.2,"RWF",'PT AND PC'!$D178*0.4)</f>
        <v>#NAME?</v>
      </c>
      <c r="H178" s="24"/>
      <c r="I178" s="24"/>
    </row>
    <row r="179" spans="1:9" ht="14.25" customHeight="1" x14ac:dyDescent="0.15">
      <c r="A179" s="71" t="s">
        <v>132</v>
      </c>
      <c r="B179" s="72">
        <v>45027</v>
      </c>
      <c r="C179" s="72" t="s">
        <v>60</v>
      </c>
      <c r="D179" s="72">
        <v>14</v>
      </c>
      <c r="E179" s="72" t="e">
        <f t="array" aca="1" ref="E179" ca="1">_xludf.SWITCH('PT AND PC'!$C179,"NGN",'PT AND PC'!$D179,"USD",'PT AND PC'!$D179*1000,"GBP",'PT AND PC'!$D179*1200,"KES",'PT AND PC'!$D179*5.4,"GHS",'PT AND PC'!$D179*80,"XAF",'PT AND PC'!$D179*1.6,"ZAR",'PT AND PC'!$D179*15,"TZS",'PT AND PC'!$D179*0.2,"RWF",'PT AND PC'!$D179*0.4)</f>
        <v>#NAME?</v>
      </c>
      <c r="H179" s="24"/>
      <c r="I179" s="24"/>
    </row>
    <row r="180" spans="1:9" ht="14.25" customHeight="1" x14ac:dyDescent="0.15">
      <c r="A180" s="69" t="s">
        <v>61</v>
      </c>
      <c r="B180" s="70">
        <v>45021</v>
      </c>
      <c r="C180" s="70" t="s">
        <v>60</v>
      </c>
      <c r="D180" s="70">
        <v>4.7</v>
      </c>
      <c r="E180" s="70" t="e">
        <f t="array" aca="1" ref="E180" ca="1">_xludf.SWITCH('PT AND PC'!$C180,"NGN",'PT AND PC'!$D180,"USD",'PT AND PC'!$D180*1000,"GBP",'PT AND PC'!$D180*1200,"KES",'PT AND PC'!$D180*5.4,"GHS",'PT AND PC'!$D180*80,"XAF",'PT AND PC'!$D180*1.6,"ZAR",'PT AND PC'!$D180*15,"TZS",'PT AND PC'!$D180*0.2,"RWF",'PT AND PC'!$D180*0.4)</f>
        <v>#NAME?</v>
      </c>
      <c r="H180" s="24"/>
      <c r="I180" s="24"/>
    </row>
    <row r="181" spans="1:9" ht="14.25" customHeight="1" x14ac:dyDescent="0.15">
      <c r="A181" s="71" t="s">
        <v>132</v>
      </c>
      <c r="B181" s="72">
        <v>45027</v>
      </c>
      <c r="C181" s="72" t="s">
        <v>60</v>
      </c>
      <c r="D181" s="72">
        <v>14</v>
      </c>
      <c r="E181" s="72" t="e">
        <f t="array" aca="1" ref="E181" ca="1">_xludf.SWITCH('PT AND PC'!$C181,"NGN",'PT AND PC'!$D181,"USD",'PT AND PC'!$D181*1000,"GBP",'PT AND PC'!$D181*1200,"KES",'PT AND PC'!$D181*5.4,"GHS",'PT AND PC'!$D181*80,"XAF",'PT AND PC'!$D181*1.6,"ZAR",'PT AND PC'!$D181*15,"TZS",'PT AND PC'!$D181*0.2,"RWF",'PT AND PC'!$D181*0.4)</f>
        <v>#NAME?</v>
      </c>
      <c r="H181" s="24"/>
      <c r="I181" s="24"/>
    </row>
    <row r="182" spans="1:9" ht="14.25" customHeight="1" x14ac:dyDescent="0.15">
      <c r="A182" s="69" t="s">
        <v>132</v>
      </c>
      <c r="B182" s="70">
        <v>45027</v>
      </c>
      <c r="C182" s="70" t="s">
        <v>60</v>
      </c>
      <c r="D182" s="70">
        <v>14</v>
      </c>
      <c r="E182" s="70" t="e">
        <f t="array" aca="1" ref="E182" ca="1">_xludf.SWITCH('PT AND PC'!$C182,"NGN",'PT AND PC'!$D182,"USD",'PT AND PC'!$D182*1000,"GBP",'PT AND PC'!$D182*1200,"KES",'PT AND PC'!$D182*5.4,"GHS",'PT AND PC'!$D182*80,"XAF",'PT AND PC'!$D182*1.6,"ZAR",'PT AND PC'!$D182*15,"TZS",'PT AND PC'!$D182*0.2,"RWF",'PT AND PC'!$D182*0.4)</f>
        <v>#NAME?</v>
      </c>
      <c r="H182" s="24"/>
      <c r="I182" s="24"/>
    </row>
    <row r="183" spans="1:9" ht="14.25" customHeight="1" x14ac:dyDescent="0.15">
      <c r="A183" s="71" t="s">
        <v>132</v>
      </c>
      <c r="B183" s="72">
        <v>45027</v>
      </c>
      <c r="C183" s="72" t="s">
        <v>60</v>
      </c>
      <c r="D183" s="72">
        <v>14</v>
      </c>
      <c r="E183" s="72" t="e">
        <f t="array" aca="1" ref="E183" ca="1">_xludf.SWITCH('PT AND PC'!$C183,"NGN",'PT AND PC'!$D183,"USD",'PT AND PC'!$D183*1000,"GBP",'PT AND PC'!$D183*1200,"KES",'PT AND PC'!$D183*5.4,"GHS",'PT AND PC'!$D183*80,"XAF",'PT AND PC'!$D183*1.6,"ZAR",'PT AND PC'!$D183*15,"TZS",'PT AND PC'!$D183*0.2,"RWF",'PT AND PC'!$D183*0.4)</f>
        <v>#NAME?</v>
      </c>
      <c r="H183" s="24"/>
      <c r="I183" s="24"/>
    </row>
    <row r="184" spans="1:9" ht="14.25" customHeight="1" x14ac:dyDescent="0.15">
      <c r="A184" s="69" t="s">
        <v>132</v>
      </c>
      <c r="B184" s="70">
        <v>45026</v>
      </c>
      <c r="C184" s="70" t="s">
        <v>56</v>
      </c>
      <c r="D184" s="70">
        <v>5500</v>
      </c>
      <c r="E184" s="70" t="e">
        <f t="array" aca="1" ref="E184" ca="1">_xludf.SWITCH('PT AND PC'!$C184,"NGN",'PT AND PC'!$D184,"USD",'PT AND PC'!$D184*1000,"GBP",'PT AND PC'!$D184*1200,"KES",'PT AND PC'!$D184*5.4,"GHS",'PT AND PC'!$D184*80,"XAF",'PT AND PC'!$D184*1.6,"ZAR",'PT AND PC'!$D184*15,"TZS",'PT AND PC'!$D184*0.2,"RWF",'PT AND PC'!$D184*0.4)</f>
        <v>#NAME?</v>
      </c>
      <c r="H184" s="24"/>
      <c r="I184" s="24"/>
    </row>
    <row r="185" spans="1:9" ht="14.25" customHeight="1" x14ac:dyDescent="0.15">
      <c r="A185" s="71" t="s">
        <v>132</v>
      </c>
      <c r="B185" s="72">
        <v>45026</v>
      </c>
      <c r="C185" s="72" t="s">
        <v>60</v>
      </c>
      <c r="D185" s="72">
        <v>14</v>
      </c>
      <c r="E185" s="72" t="e">
        <f t="array" aca="1" ref="E185" ca="1">_xludf.SWITCH('PT AND PC'!$C185,"NGN",'PT AND PC'!$D185,"USD",'PT AND PC'!$D185*1000,"GBP",'PT AND PC'!$D185*1200,"KES",'PT AND PC'!$D185*5.4,"GHS",'PT AND PC'!$D185*80,"XAF",'PT AND PC'!$D185*1.6,"ZAR",'PT AND PC'!$D185*15,"TZS",'PT AND PC'!$D185*0.2,"RWF",'PT AND PC'!$D185*0.4)</f>
        <v>#NAME?</v>
      </c>
      <c r="H185" s="24"/>
      <c r="I185" s="24"/>
    </row>
    <row r="186" spans="1:9" ht="14.25" customHeight="1" x14ac:dyDescent="0.15">
      <c r="A186" s="69" t="s">
        <v>132</v>
      </c>
      <c r="B186" s="70">
        <v>45026</v>
      </c>
      <c r="C186" s="70" t="s">
        <v>58</v>
      </c>
      <c r="D186" s="70">
        <v>1661</v>
      </c>
      <c r="E186" s="70" t="e">
        <f t="array" aca="1" ref="E186" ca="1">_xludf.SWITCH('PT AND PC'!$C186,"NGN",'PT AND PC'!$D186,"USD",'PT AND PC'!$D186*1000,"GBP",'PT AND PC'!$D186*1200,"KES",'PT AND PC'!$D186*5.4,"GHS",'PT AND PC'!$D186*80,"XAF",'PT AND PC'!$D186*1.6,"ZAR",'PT AND PC'!$D186*15,"TZS",'PT AND PC'!$D186*0.2,"RWF",'PT AND PC'!$D186*0.4)</f>
        <v>#NAME?</v>
      </c>
      <c r="H186" s="24"/>
      <c r="I186" s="24"/>
    </row>
    <row r="187" spans="1:9" ht="14.25" customHeight="1" x14ac:dyDescent="0.15">
      <c r="A187" s="71" t="s">
        <v>132</v>
      </c>
      <c r="B187" s="72">
        <v>45026</v>
      </c>
      <c r="C187" s="72" t="s">
        <v>60</v>
      </c>
      <c r="D187" s="72">
        <v>14</v>
      </c>
      <c r="E187" s="72" t="e">
        <f t="array" aca="1" ref="E187" ca="1">_xludf.SWITCH('PT AND PC'!$C187,"NGN",'PT AND PC'!$D187,"USD",'PT AND PC'!$D187*1000,"GBP",'PT AND PC'!$D187*1200,"KES",'PT AND PC'!$D187*5.4,"GHS",'PT AND PC'!$D187*80,"XAF",'PT AND PC'!$D187*1.6,"ZAR",'PT AND PC'!$D187*15,"TZS",'PT AND PC'!$D187*0.2,"RWF",'PT AND PC'!$D187*0.4)</f>
        <v>#NAME?</v>
      </c>
      <c r="H187" s="24"/>
      <c r="I187" s="24"/>
    </row>
    <row r="188" spans="1:9" ht="14.25" customHeight="1" x14ac:dyDescent="0.15">
      <c r="A188" s="69" t="s">
        <v>132</v>
      </c>
      <c r="B188" s="70">
        <v>45026</v>
      </c>
      <c r="C188" s="70" t="s">
        <v>56</v>
      </c>
      <c r="D188" s="70">
        <v>5500</v>
      </c>
      <c r="E188" s="70" t="e">
        <f t="array" aca="1" ref="E188" ca="1">_xludf.SWITCH('PT AND PC'!$C188,"NGN",'PT AND PC'!$D188,"USD",'PT AND PC'!$D188*1000,"GBP",'PT AND PC'!$D188*1200,"KES",'PT AND PC'!$D188*5.4,"GHS",'PT AND PC'!$D188*80,"XAF",'PT AND PC'!$D188*1.6,"ZAR",'PT AND PC'!$D188*15,"TZS",'PT AND PC'!$D188*0.2,"RWF",'PT AND PC'!$D188*0.4)</f>
        <v>#NAME?</v>
      </c>
      <c r="H188" s="24"/>
      <c r="I188" s="24"/>
    </row>
    <row r="189" spans="1:9" ht="14.25" customHeight="1" x14ac:dyDescent="0.15">
      <c r="A189" s="71" t="s">
        <v>132</v>
      </c>
      <c r="B189" s="72">
        <v>45025</v>
      </c>
      <c r="C189" s="72" t="s">
        <v>30</v>
      </c>
      <c r="D189" s="72">
        <v>141</v>
      </c>
      <c r="E189" s="72" t="e">
        <f t="array" aca="1" ref="E189" ca="1">_xludf.SWITCH('PT AND PC'!$C189,"NGN",'PT AND PC'!$D189,"USD",'PT AND PC'!$D189*1000,"GBP",'PT AND PC'!$D189*1200,"KES",'PT AND PC'!$D189*5.4,"GHS",'PT AND PC'!$D189*80,"XAF",'PT AND PC'!$D189*1.6,"ZAR",'PT AND PC'!$D189*15,"TZS",'PT AND PC'!$D189*0.2,"RWF",'PT AND PC'!$D189*0.4)</f>
        <v>#NAME?</v>
      </c>
      <c r="H189" s="24"/>
      <c r="I189" s="24"/>
    </row>
    <row r="190" spans="1:9" ht="14.25" customHeight="1" x14ac:dyDescent="0.15">
      <c r="A190" s="69" t="s">
        <v>132</v>
      </c>
      <c r="B190" s="70">
        <v>45025</v>
      </c>
      <c r="C190" s="70" t="s">
        <v>33</v>
      </c>
      <c r="D190" s="70">
        <v>9.3000000000000007</v>
      </c>
      <c r="E190" s="70" t="e">
        <f t="array" aca="1" ref="E190" ca="1">_xludf.SWITCH('PT AND PC'!$C190,"NGN",'PT AND PC'!$D190,"USD",'PT AND PC'!$D190*1000,"GBP",'PT AND PC'!$D190*1200,"KES",'PT AND PC'!$D190*5.4,"GHS",'PT AND PC'!$D190*80,"XAF",'PT AND PC'!$D190*1.6,"ZAR",'PT AND PC'!$D190*15,"TZS",'PT AND PC'!$D190*0.2,"RWF",'PT AND PC'!$D190*0.4)</f>
        <v>#NAME?</v>
      </c>
      <c r="H190" s="24"/>
      <c r="I190" s="24"/>
    </row>
    <row r="191" spans="1:9" ht="14.25" customHeight="1" x14ac:dyDescent="0.15">
      <c r="A191" s="71" t="s">
        <v>55</v>
      </c>
      <c r="B191" s="72">
        <v>45107</v>
      </c>
      <c r="C191" s="72" t="s">
        <v>30</v>
      </c>
      <c r="D191" s="72">
        <v>59</v>
      </c>
      <c r="E191" s="72" t="e">
        <f t="array" aca="1" ref="E191" ca="1">_xludf.SWITCH('PT AND PC'!$C191,"NGN",'PT AND PC'!$D191,"USD",'PT AND PC'!$D191*1000,"GBP",'PT AND PC'!$D191*1200,"KES",'PT AND PC'!$D191*5.4,"GHS",'PT AND PC'!$D191*80,"XAF",'PT AND PC'!$D191*1.6,"ZAR",'PT AND PC'!$D191*15,"TZS",'PT AND PC'!$D191*0.2,"RWF",'PT AND PC'!$D191*0.4)</f>
        <v>#NAME?</v>
      </c>
      <c r="H191" s="24"/>
      <c r="I191" s="24"/>
    </row>
    <row r="192" spans="1:9" ht="14.25" customHeight="1" x14ac:dyDescent="0.15">
      <c r="A192" s="69" t="s">
        <v>55</v>
      </c>
      <c r="B192" s="70">
        <v>45107</v>
      </c>
      <c r="C192" s="70" t="s">
        <v>30</v>
      </c>
      <c r="D192" s="70">
        <v>59</v>
      </c>
      <c r="E192" s="70" t="e">
        <f t="array" aca="1" ref="E192" ca="1">_xludf.SWITCH('PT AND PC'!$C192,"NGN",'PT AND PC'!$D192,"USD",'PT AND PC'!$D192*1000,"GBP",'PT AND PC'!$D192*1200,"KES",'PT AND PC'!$D192*5.4,"GHS",'PT AND PC'!$D192*80,"XAF",'PT AND PC'!$D192*1.6,"ZAR",'PT AND PC'!$D192*15,"TZS",'PT AND PC'!$D192*0.2,"RWF",'PT AND PC'!$D192*0.4)</f>
        <v>#NAME?</v>
      </c>
      <c r="H192" s="24"/>
      <c r="I192" s="24"/>
    </row>
    <row r="193" spans="1:9" ht="14.25" customHeight="1" x14ac:dyDescent="0.15">
      <c r="A193" s="71" t="s">
        <v>132</v>
      </c>
      <c r="B193" s="72">
        <v>45023</v>
      </c>
      <c r="C193" s="72" t="s">
        <v>56</v>
      </c>
      <c r="D193" s="72">
        <v>5500</v>
      </c>
      <c r="E193" s="72" t="e">
        <f t="array" aca="1" ref="E193" ca="1">_xludf.SWITCH('PT AND PC'!$C193,"NGN",'PT AND PC'!$D193,"USD",'PT AND PC'!$D193*1000,"GBP",'PT AND PC'!$D193*1200,"KES",'PT AND PC'!$D193*5.4,"GHS",'PT AND PC'!$D193*80,"XAF",'PT AND PC'!$D193*1.6,"ZAR",'PT AND PC'!$D193*15,"TZS",'PT AND PC'!$D193*0.2,"RWF",'PT AND PC'!$D193*0.4)</f>
        <v>#NAME?</v>
      </c>
      <c r="H193" s="24"/>
      <c r="I193" s="24"/>
    </row>
    <row r="194" spans="1:9" ht="14.25" customHeight="1" x14ac:dyDescent="0.15">
      <c r="A194" s="69" t="s">
        <v>132</v>
      </c>
      <c r="B194" s="70">
        <v>45023</v>
      </c>
      <c r="C194" s="70" t="s">
        <v>30</v>
      </c>
      <c r="D194" s="70">
        <v>142</v>
      </c>
      <c r="E194" s="70" t="e">
        <f t="array" aca="1" ref="E194" ca="1">_xludf.SWITCH('PT AND PC'!$C194,"NGN",'PT AND PC'!$D194,"USD",'PT AND PC'!$D194*1000,"GBP",'PT AND PC'!$D194*1200,"KES",'PT AND PC'!$D194*5.4,"GHS",'PT AND PC'!$D194*80,"XAF",'PT AND PC'!$D194*1.6,"ZAR",'PT AND PC'!$D194*15,"TZS",'PT AND PC'!$D194*0.2,"RWF",'PT AND PC'!$D194*0.4)</f>
        <v>#NAME?</v>
      </c>
      <c r="H194" s="24"/>
      <c r="I194" s="24"/>
    </row>
    <row r="195" spans="1:9" ht="14.25" customHeight="1" x14ac:dyDescent="0.15">
      <c r="A195" s="71" t="s">
        <v>132</v>
      </c>
      <c r="B195" s="72">
        <v>45023</v>
      </c>
      <c r="C195" s="72" t="s">
        <v>60</v>
      </c>
      <c r="D195" s="72">
        <v>14</v>
      </c>
      <c r="E195" s="72" t="e">
        <f t="array" aca="1" ref="E195" ca="1">_xludf.SWITCH('PT AND PC'!$C195,"NGN",'PT AND PC'!$D195,"USD",'PT AND PC'!$D195*1000,"GBP",'PT AND PC'!$D195*1200,"KES",'PT AND PC'!$D195*5.4,"GHS",'PT AND PC'!$D195*80,"XAF",'PT AND PC'!$D195*1.6,"ZAR",'PT AND PC'!$D195*15,"TZS",'PT AND PC'!$D195*0.2,"RWF",'PT AND PC'!$D195*0.4)</f>
        <v>#NAME?</v>
      </c>
      <c r="H195" s="24"/>
      <c r="I195" s="24"/>
    </row>
    <row r="196" spans="1:9" ht="14.25" customHeight="1" x14ac:dyDescent="0.15">
      <c r="A196" s="69" t="s">
        <v>132</v>
      </c>
      <c r="B196" s="70">
        <v>45023</v>
      </c>
      <c r="C196" s="70" t="s">
        <v>33</v>
      </c>
      <c r="D196" s="70">
        <v>9.3699999999999992</v>
      </c>
      <c r="E196" s="70" t="e">
        <f t="array" aca="1" ref="E196" ca="1">_xludf.SWITCH('PT AND PC'!$C196,"NGN",'PT AND PC'!$D196,"USD",'PT AND PC'!$D196*1000,"GBP",'PT AND PC'!$D196*1200,"KES",'PT AND PC'!$D196*5.4,"GHS",'PT AND PC'!$D196*80,"XAF",'PT AND PC'!$D196*1.6,"ZAR",'PT AND PC'!$D196*15,"TZS",'PT AND PC'!$D196*0.2,"RWF",'PT AND PC'!$D196*0.4)</f>
        <v>#NAME?</v>
      </c>
      <c r="H196" s="24"/>
      <c r="I196" s="24"/>
    </row>
    <row r="197" spans="1:9" ht="14.25" customHeight="1" x14ac:dyDescent="0.15">
      <c r="A197" s="71" t="s">
        <v>132</v>
      </c>
      <c r="B197" s="72">
        <v>45023</v>
      </c>
      <c r="C197" s="72" t="s">
        <v>56</v>
      </c>
      <c r="D197" s="72">
        <v>5500</v>
      </c>
      <c r="E197" s="72" t="e">
        <f t="array" aca="1" ref="E197" ca="1">_xludf.SWITCH('PT AND PC'!$C197,"NGN",'PT AND PC'!$D197,"USD",'PT AND PC'!$D197*1000,"GBP",'PT AND PC'!$D197*1200,"KES",'PT AND PC'!$D197*5.4,"GHS",'PT AND PC'!$D197*80,"XAF",'PT AND PC'!$D197*1.6,"ZAR",'PT AND PC'!$D197*15,"TZS",'PT AND PC'!$D197*0.2,"RWF",'PT AND PC'!$D197*0.4)</f>
        <v>#NAME?</v>
      </c>
      <c r="H197" s="24"/>
      <c r="I197" s="24"/>
    </row>
    <row r="198" spans="1:9" ht="14.25" customHeight="1" x14ac:dyDescent="0.15">
      <c r="A198" s="69" t="s">
        <v>132</v>
      </c>
      <c r="B198" s="70">
        <v>45023</v>
      </c>
      <c r="C198" s="70" t="s">
        <v>56</v>
      </c>
      <c r="D198" s="70">
        <v>5500</v>
      </c>
      <c r="E198" s="70" t="e">
        <f t="array" aca="1" ref="E198" ca="1">_xludf.SWITCH('PT AND PC'!$C198,"NGN",'PT AND PC'!$D198,"USD",'PT AND PC'!$D198*1000,"GBP",'PT AND PC'!$D198*1200,"KES",'PT AND PC'!$D198*5.4,"GHS",'PT AND PC'!$D198*80,"XAF",'PT AND PC'!$D198*1.6,"ZAR",'PT AND PC'!$D198*15,"TZS",'PT AND PC'!$D198*0.2,"RWF",'PT AND PC'!$D198*0.4)</f>
        <v>#NAME?</v>
      </c>
      <c r="H198" s="24"/>
      <c r="I198" s="24"/>
    </row>
    <row r="199" spans="1:9" ht="14.25" customHeight="1" x14ac:dyDescent="0.15">
      <c r="A199" s="71" t="s">
        <v>132</v>
      </c>
      <c r="B199" s="72">
        <v>45023</v>
      </c>
      <c r="C199" s="72" t="s">
        <v>56</v>
      </c>
      <c r="D199" s="72">
        <v>5500</v>
      </c>
      <c r="E199" s="72" t="e">
        <f t="array" aca="1" ref="E199" ca="1">_xludf.SWITCH('PT AND PC'!$C199,"NGN",'PT AND PC'!$D199,"USD",'PT AND PC'!$D199*1000,"GBP",'PT AND PC'!$D199*1200,"KES",'PT AND PC'!$D199*5.4,"GHS",'PT AND PC'!$D199*80,"XAF",'PT AND PC'!$D199*1.6,"ZAR",'PT AND PC'!$D199*15,"TZS",'PT AND PC'!$D199*0.2,"RWF",'PT AND PC'!$D199*0.4)</f>
        <v>#NAME?</v>
      </c>
      <c r="H199" s="24"/>
      <c r="I199" s="24"/>
    </row>
    <row r="200" spans="1:9" ht="14.25" customHeight="1" x14ac:dyDescent="0.15">
      <c r="A200" s="69" t="s">
        <v>132</v>
      </c>
      <c r="B200" s="70">
        <v>45023</v>
      </c>
      <c r="C200" s="70" t="s">
        <v>56</v>
      </c>
      <c r="D200" s="70">
        <v>5500</v>
      </c>
      <c r="E200" s="70" t="e">
        <f t="array" aca="1" ref="E200" ca="1">_xludf.SWITCH('PT AND PC'!$C200,"NGN",'PT AND PC'!$D200,"USD",'PT AND PC'!$D200*1000,"GBP",'PT AND PC'!$D200*1200,"KES",'PT AND PC'!$D200*5.4,"GHS",'PT AND PC'!$D200*80,"XAF",'PT AND PC'!$D200*1.6,"ZAR",'PT AND PC'!$D200*15,"TZS",'PT AND PC'!$D200*0.2,"RWF",'PT AND PC'!$D200*0.4)</f>
        <v>#NAME?</v>
      </c>
      <c r="H200" s="24"/>
      <c r="I200" s="24"/>
    </row>
    <row r="201" spans="1:9" ht="14.25" customHeight="1" x14ac:dyDescent="0.15">
      <c r="A201" s="71" t="s">
        <v>132</v>
      </c>
      <c r="B201" s="72">
        <v>45023</v>
      </c>
      <c r="C201" s="72" t="s">
        <v>60</v>
      </c>
      <c r="D201" s="72">
        <v>14</v>
      </c>
      <c r="E201" s="72" t="e">
        <f t="array" aca="1" ref="E201" ca="1">_xludf.SWITCH('PT AND PC'!$C201,"NGN",'PT AND PC'!$D201,"USD",'PT AND PC'!$D201*1000,"GBP",'PT AND PC'!$D201*1200,"KES",'PT AND PC'!$D201*5.4,"GHS",'PT AND PC'!$D201*80,"XAF",'PT AND PC'!$D201*1.6,"ZAR",'PT AND PC'!$D201*15,"TZS",'PT AND PC'!$D201*0.2,"RWF",'PT AND PC'!$D201*0.4)</f>
        <v>#NAME?</v>
      </c>
      <c r="H201" s="24"/>
      <c r="I201" s="24"/>
    </row>
    <row r="202" spans="1:9" ht="14.25" customHeight="1" x14ac:dyDescent="0.15">
      <c r="A202" s="69" t="s">
        <v>132</v>
      </c>
      <c r="B202" s="70">
        <v>45023</v>
      </c>
      <c r="C202" s="70" t="s">
        <v>56</v>
      </c>
      <c r="D202" s="70">
        <v>5500</v>
      </c>
      <c r="E202" s="70" t="e">
        <f t="array" aca="1" ref="E202" ca="1">_xludf.SWITCH('PT AND PC'!$C202,"NGN",'PT AND PC'!$D202,"USD",'PT AND PC'!$D202*1000,"GBP",'PT AND PC'!$D202*1200,"KES",'PT AND PC'!$D202*5.4,"GHS",'PT AND PC'!$D202*80,"XAF",'PT AND PC'!$D202*1.6,"ZAR",'PT AND PC'!$D202*15,"TZS",'PT AND PC'!$D202*0.2,"RWF",'PT AND PC'!$D202*0.4)</f>
        <v>#NAME?</v>
      </c>
      <c r="H202" s="24"/>
      <c r="I202" s="24"/>
    </row>
    <row r="203" spans="1:9" ht="14.25" customHeight="1" x14ac:dyDescent="0.15">
      <c r="A203" s="71" t="s">
        <v>132</v>
      </c>
      <c r="B203" s="72">
        <v>45023</v>
      </c>
      <c r="C203" s="72" t="s">
        <v>60</v>
      </c>
      <c r="D203" s="72">
        <v>14</v>
      </c>
      <c r="E203" s="72" t="e">
        <f t="array" aca="1" ref="E203" ca="1">_xludf.SWITCH('PT AND PC'!$C203,"NGN",'PT AND PC'!$D203,"USD",'PT AND PC'!$D203*1000,"GBP",'PT AND PC'!$D203*1200,"KES",'PT AND PC'!$D203*5.4,"GHS",'PT AND PC'!$D203*80,"XAF",'PT AND PC'!$D203*1.6,"ZAR",'PT AND PC'!$D203*15,"TZS",'PT AND PC'!$D203*0.2,"RWF",'PT AND PC'!$D203*0.4)</f>
        <v>#NAME?</v>
      </c>
      <c r="H203" s="24"/>
      <c r="I203" s="24"/>
    </row>
    <row r="204" spans="1:9" ht="14.25" customHeight="1" x14ac:dyDescent="0.15">
      <c r="A204" s="69" t="s">
        <v>132</v>
      </c>
      <c r="B204" s="70">
        <v>45023</v>
      </c>
      <c r="C204" s="70" t="s">
        <v>30</v>
      </c>
      <c r="D204" s="70">
        <v>142</v>
      </c>
      <c r="E204" s="70" t="e">
        <f t="array" aca="1" ref="E204" ca="1">_xludf.SWITCH('PT AND PC'!$C204,"NGN",'PT AND PC'!$D204,"USD",'PT AND PC'!$D204*1000,"GBP",'PT AND PC'!$D204*1200,"KES",'PT AND PC'!$D204*5.4,"GHS",'PT AND PC'!$D204*80,"XAF",'PT AND PC'!$D204*1.6,"ZAR",'PT AND PC'!$D204*15,"TZS",'PT AND PC'!$D204*0.2,"RWF",'PT AND PC'!$D204*0.4)</f>
        <v>#NAME?</v>
      </c>
      <c r="H204" s="24"/>
      <c r="I204" s="24"/>
    </row>
    <row r="205" spans="1:9" ht="14.25" customHeight="1" x14ac:dyDescent="0.15">
      <c r="A205" s="71" t="s">
        <v>132</v>
      </c>
      <c r="B205" s="72">
        <v>45023</v>
      </c>
      <c r="C205" s="72" t="s">
        <v>56</v>
      </c>
      <c r="D205" s="72">
        <v>5500</v>
      </c>
      <c r="E205" s="72" t="e">
        <f t="array" aca="1" ref="E205" ca="1">_xludf.SWITCH('PT AND PC'!$C205,"NGN",'PT AND PC'!$D205,"USD",'PT AND PC'!$D205*1000,"GBP",'PT AND PC'!$D205*1200,"KES",'PT AND PC'!$D205*5.4,"GHS",'PT AND PC'!$D205*80,"XAF",'PT AND PC'!$D205*1.6,"ZAR",'PT AND PC'!$D205*15,"TZS",'PT AND PC'!$D205*0.2,"RWF",'PT AND PC'!$D205*0.4)</f>
        <v>#NAME?</v>
      </c>
      <c r="H205" s="24"/>
      <c r="I205" s="24"/>
    </row>
    <row r="206" spans="1:9" ht="14.25" customHeight="1" x14ac:dyDescent="0.15">
      <c r="A206" s="69" t="s">
        <v>132</v>
      </c>
      <c r="B206" s="70">
        <v>45023</v>
      </c>
      <c r="C206" s="70" t="s">
        <v>56</v>
      </c>
      <c r="D206" s="70">
        <v>5500</v>
      </c>
      <c r="E206" s="70" t="e">
        <f t="array" aca="1" ref="E206" ca="1">_xludf.SWITCH('PT AND PC'!$C206,"NGN",'PT AND PC'!$D206,"USD",'PT AND PC'!$D206*1000,"GBP",'PT AND PC'!$D206*1200,"KES",'PT AND PC'!$D206*5.4,"GHS",'PT AND PC'!$D206*80,"XAF",'PT AND PC'!$D206*1.6,"ZAR",'PT AND PC'!$D206*15,"TZS",'PT AND PC'!$D206*0.2,"RWF",'PT AND PC'!$D206*0.4)</f>
        <v>#NAME?</v>
      </c>
      <c r="H206" s="24"/>
      <c r="I206" s="24"/>
    </row>
    <row r="207" spans="1:9" ht="14.25" customHeight="1" x14ac:dyDescent="0.15">
      <c r="A207" s="71" t="s">
        <v>132</v>
      </c>
      <c r="B207" s="72">
        <v>45023</v>
      </c>
      <c r="C207" s="72" t="s">
        <v>56</v>
      </c>
      <c r="D207" s="72">
        <v>5500</v>
      </c>
      <c r="E207" s="72" t="e">
        <f t="array" aca="1" ref="E207" ca="1">_xludf.SWITCH('PT AND PC'!$C207,"NGN",'PT AND PC'!$D207,"USD",'PT AND PC'!$D207*1000,"GBP",'PT AND PC'!$D207*1200,"KES",'PT AND PC'!$D207*5.4,"GHS",'PT AND PC'!$D207*80,"XAF",'PT AND PC'!$D207*1.6,"ZAR",'PT AND PC'!$D207*15,"TZS",'PT AND PC'!$D207*0.2,"RWF",'PT AND PC'!$D207*0.4)</f>
        <v>#NAME?</v>
      </c>
      <c r="H207" s="24"/>
      <c r="I207" s="24"/>
    </row>
    <row r="208" spans="1:9" ht="14.25" customHeight="1" x14ac:dyDescent="0.15">
      <c r="A208" s="69" t="s">
        <v>132</v>
      </c>
      <c r="B208" s="70">
        <v>45023</v>
      </c>
      <c r="C208" s="70" t="s">
        <v>56</v>
      </c>
      <c r="D208" s="70">
        <v>5500</v>
      </c>
      <c r="E208" s="70" t="e">
        <f t="array" aca="1" ref="E208" ca="1">_xludf.SWITCH('PT AND PC'!$C208,"NGN",'PT AND PC'!$D208,"USD",'PT AND PC'!$D208*1000,"GBP",'PT AND PC'!$D208*1200,"KES",'PT AND PC'!$D208*5.4,"GHS",'PT AND PC'!$D208*80,"XAF",'PT AND PC'!$D208*1.6,"ZAR",'PT AND PC'!$D208*15,"TZS",'PT AND PC'!$D208*0.2,"RWF",'PT AND PC'!$D208*0.4)</f>
        <v>#NAME?</v>
      </c>
      <c r="H208" s="24"/>
      <c r="I208" s="24"/>
    </row>
    <row r="209" spans="1:9" ht="14.25" customHeight="1" x14ac:dyDescent="0.15">
      <c r="A209" s="71" t="s">
        <v>132</v>
      </c>
      <c r="B209" s="72">
        <v>45023</v>
      </c>
      <c r="C209" s="72" t="s">
        <v>56</v>
      </c>
      <c r="D209" s="72">
        <v>5500</v>
      </c>
      <c r="E209" s="72" t="e">
        <f t="array" aca="1" ref="E209" ca="1">_xludf.SWITCH('PT AND PC'!$C209,"NGN",'PT AND PC'!$D209,"USD",'PT AND PC'!$D209*1000,"GBP",'PT AND PC'!$D209*1200,"KES",'PT AND PC'!$D209*5.4,"GHS",'PT AND PC'!$D209*80,"XAF",'PT AND PC'!$D209*1.6,"ZAR",'PT AND PC'!$D209*15,"TZS",'PT AND PC'!$D209*0.2,"RWF",'PT AND PC'!$D209*0.4)</f>
        <v>#NAME?</v>
      </c>
      <c r="H209" s="24"/>
      <c r="I209" s="24"/>
    </row>
    <row r="210" spans="1:9" ht="14.25" customHeight="1" x14ac:dyDescent="0.15">
      <c r="A210" s="69" t="s">
        <v>132</v>
      </c>
      <c r="B210" s="70">
        <v>45023</v>
      </c>
      <c r="C210" s="70" t="s">
        <v>60</v>
      </c>
      <c r="D210" s="70">
        <v>14</v>
      </c>
      <c r="E210" s="70" t="e">
        <f t="array" aca="1" ref="E210" ca="1">_xludf.SWITCH('PT AND PC'!$C210,"NGN",'PT AND PC'!$D210,"USD",'PT AND PC'!$D210*1000,"GBP",'PT AND PC'!$D210*1200,"KES",'PT AND PC'!$D210*5.4,"GHS",'PT AND PC'!$D210*80,"XAF",'PT AND PC'!$D210*1.6,"ZAR",'PT AND PC'!$D210*15,"TZS",'PT AND PC'!$D210*0.2,"RWF",'PT AND PC'!$D210*0.4)</f>
        <v>#NAME?</v>
      </c>
      <c r="H210" s="24"/>
      <c r="I210" s="24"/>
    </row>
    <row r="211" spans="1:9" ht="14.25" customHeight="1" x14ac:dyDescent="0.15">
      <c r="A211" s="71" t="s">
        <v>132</v>
      </c>
      <c r="B211" s="72">
        <v>45022</v>
      </c>
      <c r="C211" s="72" t="s">
        <v>60</v>
      </c>
      <c r="D211" s="72">
        <v>14</v>
      </c>
      <c r="E211" s="72" t="e">
        <f t="array" aca="1" ref="E211" ca="1">_xludf.SWITCH('PT AND PC'!$C211,"NGN",'PT AND PC'!$D211,"USD",'PT AND PC'!$D211*1000,"GBP",'PT AND PC'!$D211*1200,"KES",'PT AND PC'!$D211*5.4,"GHS",'PT AND PC'!$D211*80,"XAF",'PT AND PC'!$D211*1.6,"ZAR",'PT AND PC'!$D211*15,"TZS",'PT AND PC'!$D211*0.2,"RWF",'PT AND PC'!$D211*0.4)</f>
        <v>#NAME?</v>
      </c>
      <c r="H211" s="24"/>
      <c r="I211" s="24"/>
    </row>
    <row r="212" spans="1:9" ht="14.25" customHeight="1" x14ac:dyDescent="0.15">
      <c r="A212" s="69" t="s">
        <v>132</v>
      </c>
      <c r="B212" s="70">
        <v>45022</v>
      </c>
      <c r="C212" s="70" t="s">
        <v>56</v>
      </c>
      <c r="D212" s="70">
        <v>5500</v>
      </c>
      <c r="E212" s="70" t="e">
        <f t="array" aca="1" ref="E212" ca="1">_xludf.SWITCH('PT AND PC'!$C212,"NGN",'PT AND PC'!$D212,"USD",'PT AND PC'!$D212*1000,"GBP",'PT AND PC'!$D212*1200,"KES",'PT AND PC'!$D212*5.4,"GHS",'PT AND PC'!$D212*80,"XAF",'PT AND PC'!$D212*1.6,"ZAR",'PT AND PC'!$D212*15,"TZS",'PT AND PC'!$D212*0.2,"RWF",'PT AND PC'!$D212*0.4)</f>
        <v>#NAME?</v>
      </c>
      <c r="H212" s="24"/>
      <c r="I212" s="24"/>
    </row>
    <row r="213" spans="1:9" ht="14.25" customHeight="1" x14ac:dyDescent="0.15">
      <c r="A213" s="71" t="s">
        <v>132</v>
      </c>
      <c r="B213" s="72">
        <v>45022</v>
      </c>
      <c r="C213" s="72" t="s">
        <v>40</v>
      </c>
      <c r="D213" s="72">
        <v>13200.02</v>
      </c>
      <c r="E213" s="72" t="e">
        <f t="array" aca="1" ref="E213" ca="1">_xludf.SWITCH('PT AND PC'!$C213,"NGN",'PT AND PC'!$D213,"USD",'PT AND PC'!$D213*1000,"GBP",'PT AND PC'!$D213*1200,"KES",'PT AND PC'!$D213*5.4,"GHS",'PT AND PC'!$D213*80,"XAF",'PT AND PC'!$D213*1.6,"ZAR",'PT AND PC'!$D213*15,"TZS",'PT AND PC'!$D213*0.2,"RWF",'PT AND PC'!$D213*0.4)</f>
        <v>#NAME?</v>
      </c>
      <c r="H213" s="24"/>
      <c r="I213" s="24"/>
    </row>
    <row r="214" spans="1:9" ht="14.25" customHeight="1" x14ac:dyDescent="0.15">
      <c r="A214" s="69" t="s">
        <v>132</v>
      </c>
      <c r="B214" s="70">
        <v>45022</v>
      </c>
      <c r="C214" s="70" t="s">
        <v>56</v>
      </c>
      <c r="D214" s="70">
        <v>5500</v>
      </c>
      <c r="E214" s="70" t="e">
        <f t="array" aca="1" ref="E214" ca="1">_xludf.SWITCH('PT AND PC'!$C214,"NGN",'PT AND PC'!$D214,"USD",'PT AND PC'!$D214*1000,"GBP",'PT AND PC'!$D214*1200,"KES",'PT AND PC'!$D214*5.4,"GHS",'PT AND PC'!$D214*80,"XAF",'PT AND PC'!$D214*1.6,"ZAR",'PT AND PC'!$D214*15,"TZS",'PT AND PC'!$D214*0.2,"RWF",'PT AND PC'!$D214*0.4)</f>
        <v>#NAME?</v>
      </c>
      <c r="H214" s="24"/>
      <c r="I214" s="24"/>
    </row>
    <row r="215" spans="1:9" ht="14.25" customHeight="1" x14ac:dyDescent="0.15">
      <c r="A215" s="71" t="s">
        <v>132</v>
      </c>
      <c r="B215" s="72">
        <v>45022</v>
      </c>
      <c r="C215" s="72" t="s">
        <v>56</v>
      </c>
      <c r="D215" s="72">
        <v>5500</v>
      </c>
      <c r="E215" s="72" t="e">
        <f t="array" aca="1" ref="E215" ca="1">_xludf.SWITCH('PT AND PC'!$C215,"NGN",'PT AND PC'!$D215,"USD",'PT AND PC'!$D215*1000,"GBP",'PT AND PC'!$D215*1200,"KES",'PT AND PC'!$D215*5.4,"GHS",'PT AND PC'!$D215*80,"XAF",'PT AND PC'!$D215*1.6,"ZAR",'PT AND PC'!$D215*15,"TZS",'PT AND PC'!$D215*0.2,"RWF",'PT AND PC'!$D215*0.4)</f>
        <v>#NAME?</v>
      </c>
      <c r="H215" s="24"/>
      <c r="I215" s="24"/>
    </row>
    <row r="216" spans="1:9" ht="14.25" customHeight="1" x14ac:dyDescent="0.15">
      <c r="A216" s="69" t="s">
        <v>132</v>
      </c>
      <c r="B216" s="70">
        <v>45022</v>
      </c>
      <c r="C216" s="70" t="s">
        <v>56</v>
      </c>
      <c r="D216" s="70">
        <v>5500</v>
      </c>
      <c r="E216" s="70" t="e">
        <f t="array" aca="1" ref="E216" ca="1">_xludf.SWITCH('PT AND PC'!$C216,"NGN",'PT AND PC'!$D216,"USD",'PT AND PC'!$D216*1000,"GBP",'PT AND PC'!$D216*1200,"KES",'PT AND PC'!$D216*5.4,"GHS",'PT AND PC'!$D216*80,"XAF",'PT AND PC'!$D216*1.6,"ZAR",'PT AND PC'!$D216*15,"TZS",'PT AND PC'!$D216*0.2,"RWF",'PT AND PC'!$D216*0.4)</f>
        <v>#NAME?</v>
      </c>
      <c r="H216" s="24"/>
      <c r="I216" s="24"/>
    </row>
    <row r="217" spans="1:9" ht="14.25" customHeight="1" x14ac:dyDescent="0.15">
      <c r="A217" s="71" t="s">
        <v>132</v>
      </c>
      <c r="B217" s="72">
        <v>45022</v>
      </c>
      <c r="C217" s="72" t="s">
        <v>56</v>
      </c>
      <c r="D217" s="72">
        <v>5500</v>
      </c>
      <c r="E217" s="72" t="e">
        <f t="array" aca="1" ref="E217" ca="1">_xludf.SWITCH('PT AND PC'!$C217,"NGN",'PT AND PC'!$D217,"USD",'PT AND PC'!$D217*1000,"GBP",'PT AND PC'!$D217*1200,"KES",'PT AND PC'!$D217*5.4,"GHS",'PT AND PC'!$D217*80,"XAF",'PT AND PC'!$D217*1.6,"ZAR",'PT AND PC'!$D217*15,"TZS",'PT AND PC'!$D217*0.2,"RWF",'PT AND PC'!$D217*0.4)</f>
        <v>#NAME?</v>
      </c>
      <c r="H217" s="24"/>
      <c r="I217" s="24"/>
    </row>
    <row r="218" spans="1:9" ht="14.25" customHeight="1" x14ac:dyDescent="0.15">
      <c r="A218" s="69" t="s">
        <v>132</v>
      </c>
      <c r="B218" s="70">
        <v>45022</v>
      </c>
      <c r="C218" s="70" t="s">
        <v>56</v>
      </c>
      <c r="D218" s="70">
        <v>5500</v>
      </c>
      <c r="E218" s="70" t="e">
        <f t="array" aca="1" ref="E218" ca="1">_xludf.SWITCH('PT AND PC'!$C218,"NGN",'PT AND PC'!$D218,"USD",'PT AND PC'!$D218*1000,"GBP",'PT AND PC'!$D218*1200,"KES",'PT AND PC'!$D218*5.4,"GHS",'PT AND PC'!$D218*80,"XAF",'PT AND PC'!$D218*1.6,"ZAR",'PT AND PC'!$D218*15,"TZS",'PT AND PC'!$D218*0.2,"RWF",'PT AND PC'!$D218*0.4)</f>
        <v>#NAME?</v>
      </c>
      <c r="H218" s="24"/>
      <c r="I218" s="24"/>
    </row>
    <row r="219" spans="1:9" ht="14.25" customHeight="1" x14ac:dyDescent="0.15">
      <c r="A219" s="71" t="s">
        <v>132</v>
      </c>
      <c r="B219" s="72">
        <v>45022</v>
      </c>
      <c r="C219" s="72" t="s">
        <v>56</v>
      </c>
      <c r="D219" s="72">
        <v>5500</v>
      </c>
      <c r="E219" s="72" t="e">
        <f t="array" aca="1" ref="E219" ca="1">_xludf.SWITCH('PT AND PC'!$C219,"NGN",'PT AND PC'!$D219,"USD",'PT AND PC'!$D219*1000,"GBP",'PT AND PC'!$D219*1200,"KES",'PT AND PC'!$D219*5.4,"GHS",'PT AND PC'!$D219*80,"XAF",'PT AND PC'!$D219*1.6,"ZAR",'PT AND PC'!$D219*15,"TZS",'PT AND PC'!$D219*0.2,"RWF",'PT AND PC'!$D219*0.4)</f>
        <v>#NAME?</v>
      </c>
      <c r="H219" s="24"/>
      <c r="I219" s="24"/>
    </row>
    <row r="220" spans="1:9" ht="14.25" customHeight="1" x14ac:dyDescent="0.15">
      <c r="A220" s="69" t="s">
        <v>132</v>
      </c>
      <c r="B220" s="70">
        <v>45022</v>
      </c>
      <c r="C220" s="70" t="s">
        <v>56</v>
      </c>
      <c r="D220" s="70">
        <v>5500</v>
      </c>
      <c r="E220" s="70" t="e">
        <f t="array" aca="1" ref="E220" ca="1">_xludf.SWITCH('PT AND PC'!$C220,"NGN",'PT AND PC'!$D220,"USD",'PT AND PC'!$D220*1000,"GBP",'PT AND PC'!$D220*1200,"KES",'PT AND PC'!$D220*5.4,"GHS",'PT AND PC'!$D220*80,"XAF",'PT AND PC'!$D220*1.6,"ZAR",'PT AND PC'!$D220*15,"TZS",'PT AND PC'!$D220*0.2,"RWF",'PT AND PC'!$D220*0.4)</f>
        <v>#NAME?</v>
      </c>
      <c r="H220" s="24"/>
      <c r="I220" s="24"/>
    </row>
    <row r="221" spans="1:9" ht="14.25" customHeight="1" x14ac:dyDescent="0.15">
      <c r="A221" s="71" t="s">
        <v>132</v>
      </c>
      <c r="B221" s="72">
        <v>45022</v>
      </c>
      <c r="C221" s="72" t="s">
        <v>33</v>
      </c>
      <c r="D221" s="72">
        <v>9.35</v>
      </c>
      <c r="E221" s="72" t="e">
        <f t="array" aca="1" ref="E221" ca="1">_xludf.SWITCH('PT AND PC'!$C221,"NGN",'PT AND PC'!$D221,"USD",'PT AND PC'!$D221*1000,"GBP",'PT AND PC'!$D221*1200,"KES",'PT AND PC'!$D221*5.4,"GHS",'PT AND PC'!$D221*80,"XAF",'PT AND PC'!$D221*1.6,"ZAR",'PT AND PC'!$D221*15,"TZS",'PT AND PC'!$D221*0.2,"RWF",'PT AND PC'!$D221*0.4)</f>
        <v>#NAME?</v>
      </c>
      <c r="H221" s="24"/>
      <c r="I221" s="24"/>
    </row>
    <row r="222" spans="1:9" ht="14.25" customHeight="1" x14ac:dyDescent="0.15">
      <c r="A222" s="69" t="s">
        <v>132</v>
      </c>
      <c r="B222" s="70">
        <v>45022</v>
      </c>
      <c r="C222" s="70" t="s">
        <v>60</v>
      </c>
      <c r="D222" s="70">
        <v>14</v>
      </c>
      <c r="E222" s="70" t="e">
        <f t="array" aca="1" ref="E222" ca="1">_xludf.SWITCH('PT AND PC'!$C222,"NGN",'PT AND PC'!$D222,"USD",'PT AND PC'!$D222*1000,"GBP",'PT AND PC'!$D222*1200,"KES",'PT AND PC'!$D222*5.4,"GHS",'PT AND PC'!$D222*80,"XAF",'PT AND PC'!$D222*1.6,"ZAR",'PT AND PC'!$D222*15,"TZS",'PT AND PC'!$D222*0.2,"RWF",'PT AND PC'!$D222*0.4)</f>
        <v>#NAME?</v>
      </c>
      <c r="H222" s="24"/>
      <c r="I222" s="24"/>
    </row>
    <row r="223" spans="1:9" ht="14.25" customHeight="1" x14ac:dyDescent="0.15">
      <c r="A223" s="71" t="s">
        <v>132</v>
      </c>
      <c r="B223" s="72">
        <v>45022</v>
      </c>
      <c r="C223" s="72" t="s">
        <v>56</v>
      </c>
      <c r="D223" s="72">
        <v>5500</v>
      </c>
      <c r="E223" s="72" t="e">
        <f t="array" aca="1" ref="E223" ca="1">_xludf.SWITCH('PT AND PC'!$C223,"NGN",'PT AND PC'!$D223,"USD",'PT AND PC'!$D223*1000,"GBP",'PT AND PC'!$D223*1200,"KES",'PT AND PC'!$D223*5.4,"GHS",'PT AND PC'!$D223*80,"XAF",'PT AND PC'!$D223*1.6,"ZAR",'PT AND PC'!$D223*15,"TZS",'PT AND PC'!$D223*0.2,"RWF",'PT AND PC'!$D223*0.4)</f>
        <v>#NAME?</v>
      </c>
      <c r="H223" s="24"/>
      <c r="I223" s="24"/>
    </row>
    <row r="224" spans="1:9" ht="14.25" customHeight="1" x14ac:dyDescent="0.15">
      <c r="A224" s="69" t="s">
        <v>132</v>
      </c>
      <c r="B224" s="70">
        <v>45022</v>
      </c>
      <c r="C224" s="70" t="s">
        <v>58</v>
      </c>
      <c r="D224" s="70">
        <v>1657</v>
      </c>
      <c r="E224" s="70" t="e">
        <f t="array" aca="1" ref="E224" ca="1">_xludf.SWITCH('PT AND PC'!$C224,"NGN",'PT AND PC'!$D224,"USD",'PT AND PC'!$D224*1000,"GBP",'PT AND PC'!$D224*1200,"KES",'PT AND PC'!$D224*5.4,"GHS",'PT AND PC'!$D224*80,"XAF",'PT AND PC'!$D224*1.6,"ZAR",'PT AND PC'!$D224*15,"TZS",'PT AND PC'!$D224*0.2,"RWF",'PT AND PC'!$D224*0.4)</f>
        <v>#NAME?</v>
      </c>
      <c r="H224" s="24"/>
      <c r="I224" s="24"/>
    </row>
    <row r="225" spans="1:9" ht="14.25" customHeight="1" x14ac:dyDescent="0.15">
      <c r="A225" s="71" t="s">
        <v>132</v>
      </c>
      <c r="B225" s="72">
        <v>45021</v>
      </c>
      <c r="C225" s="72" t="s">
        <v>33</v>
      </c>
      <c r="D225" s="72">
        <v>9.34</v>
      </c>
      <c r="E225" s="72" t="e">
        <f t="array" aca="1" ref="E225" ca="1">_xludf.SWITCH('PT AND PC'!$C225,"NGN",'PT AND PC'!$D225,"USD",'PT AND PC'!$D225*1000,"GBP",'PT AND PC'!$D225*1200,"KES",'PT AND PC'!$D225*5.4,"GHS",'PT AND PC'!$D225*80,"XAF",'PT AND PC'!$D225*1.6,"ZAR",'PT AND PC'!$D225*15,"TZS",'PT AND PC'!$D225*0.2,"RWF",'PT AND PC'!$D225*0.4)</f>
        <v>#NAME?</v>
      </c>
      <c r="H225" s="24"/>
      <c r="I225" s="24"/>
    </row>
    <row r="226" spans="1:9" ht="14.25" customHeight="1" x14ac:dyDescent="0.15">
      <c r="A226" s="69" t="s">
        <v>132</v>
      </c>
      <c r="B226" s="70">
        <v>45021</v>
      </c>
      <c r="C226" s="70" t="s">
        <v>60</v>
      </c>
      <c r="D226" s="70">
        <v>14</v>
      </c>
      <c r="E226" s="70" t="e">
        <f t="array" aca="1" ref="E226" ca="1">_xludf.SWITCH('PT AND PC'!$C226,"NGN",'PT AND PC'!$D226,"USD",'PT AND PC'!$D226*1000,"GBP",'PT AND PC'!$D226*1200,"KES",'PT AND PC'!$D226*5.4,"GHS",'PT AND PC'!$D226*80,"XAF",'PT AND PC'!$D226*1.6,"ZAR",'PT AND PC'!$D226*15,"TZS",'PT AND PC'!$D226*0.2,"RWF",'PT AND PC'!$D226*0.4)</f>
        <v>#NAME?</v>
      </c>
      <c r="H226" s="24"/>
      <c r="I226" s="24"/>
    </row>
    <row r="227" spans="1:9" ht="14.25" customHeight="1" x14ac:dyDescent="0.15">
      <c r="A227" s="71" t="s">
        <v>132</v>
      </c>
      <c r="B227" s="72">
        <v>45021</v>
      </c>
      <c r="C227" s="72" t="s">
        <v>56</v>
      </c>
      <c r="D227" s="72">
        <v>5500</v>
      </c>
      <c r="E227" s="72" t="e">
        <f t="array" aca="1" ref="E227" ca="1">_xludf.SWITCH('PT AND PC'!$C227,"NGN",'PT AND PC'!$D227,"USD",'PT AND PC'!$D227*1000,"GBP",'PT AND PC'!$D227*1200,"KES",'PT AND PC'!$D227*5.4,"GHS",'PT AND PC'!$D227*80,"XAF",'PT AND PC'!$D227*1.6,"ZAR",'PT AND PC'!$D227*15,"TZS",'PT AND PC'!$D227*0.2,"RWF",'PT AND PC'!$D227*0.4)</f>
        <v>#NAME?</v>
      </c>
      <c r="H227" s="24"/>
      <c r="I227" s="24"/>
    </row>
    <row r="228" spans="1:9" ht="14.25" customHeight="1" x14ac:dyDescent="0.15">
      <c r="A228" s="69" t="s">
        <v>132</v>
      </c>
      <c r="B228" s="70">
        <v>45021</v>
      </c>
      <c r="C228" s="70" t="s">
        <v>56</v>
      </c>
      <c r="D228" s="70">
        <v>5500</v>
      </c>
      <c r="E228" s="70" t="e">
        <f t="array" aca="1" ref="E228" ca="1">_xludf.SWITCH('PT AND PC'!$C228,"NGN",'PT AND PC'!$D228,"USD",'PT AND PC'!$D228*1000,"GBP",'PT AND PC'!$D228*1200,"KES",'PT AND PC'!$D228*5.4,"GHS",'PT AND PC'!$D228*80,"XAF",'PT AND PC'!$D228*1.6,"ZAR",'PT AND PC'!$D228*15,"TZS",'PT AND PC'!$D228*0.2,"RWF",'PT AND PC'!$D228*0.4)</f>
        <v>#NAME?</v>
      </c>
      <c r="H228" s="24"/>
      <c r="I228" s="24"/>
    </row>
    <row r="229" spans="1:9" ht="14.25" customHeight="1" x14ac:dyDescent="0.15">
      <c r="A229" s="71" t="s">
        <v>132</v>
      </c>
      <c r="B229" s="72">
        <v>45021</v>
      </c>
      <c r="C229" s="72" t="s">
        <v>56</v>
      </c>
      <c r="D229" s="72">
        <v>5500</v>
      </c>
      <c r="E229" s="72" t="e">
        <f t="array" aca="1" ref="E229" ca="1">_xludf.SWITCH('PT AND PC'!$C229,"NGN",'PT AND PC'!$D229,"USD",'PT AND PC'!$D229*1000,"GBP",'PT AND PC'!$D229*1200,"KES",'PT AND PC'!$D229*5.4,"GHS",'PT AND PC'!$D229*80,"XAF",'PT AND PC'!$D229*1.6,"ZAR",'PT AND PC'!$D229*15,"TZS",'PT AND PC'!$D229*0.2,"RWF",'PT AND PC'!$D229*0.4)</f>
        <v>#NAME?</v>
      </c>
      <c r="H229" s="24"/>
      <c r="I229" s="24"/>
    </row>
    <row r="230" spans="1:9" ht="14.25" customHeight="1" x14ac:dyDescent="0.15">
      <c r="A230" s="69" t="s">
        <v>132</v>
      </c>
      <c r="B230" s="70">
        <v>45021</v>
      </c>
      <c r="C230" s="70" t="s">
        <v>56</v>
      </c>
      <c r="D230" s="70">
        <v>5500</v>
      </c>
      <c r="E230" s="70" t="e">
        <f t="array" aca="1" ref="E230" ca="1">_xludf.SWITCH('PT AND PC'!$C230,"NGN",'PT AND PC'!$D230,"USD",'PT AND PC'!$D230*1000,"GBP",'PT AND PC'!$D230*1200,"KES",'PT AND PC'!$D230*5.4,"GHS",'PT AND PC'!$D230*80,"XAF",'PT AND PC'!$D230*1.6,"ZAR",'PT AND PC'!$D230*15,"TZS",'PT AND PC'!$D230*0.2,"RWF",'PT AND PC'!$D230*0.4)</f>
        <v>#NAME?</v>
      </c>
      <c r="H230" s="24"/>
      <c r="I230" s="24"/>
    </row>
    <row r="231" spans="1:9" ht="14.25" customHeight="1" x14ac:dyDescent="0.15">
      <c r="A231" s="71" t="s">
        <v>132</v>
      </c>
      <c r="B231" s="72">
        <v>45021</v>
      </c>
      <c r="C231" s="72" t="s">
        <v>56</v>
      </c>
      <c r="D231" s="72">
        <v>5500</v>
      </c>
      <c r="E231" s="72" t="e">
        <f t="array" aca="1" ref="E231" ca="1">_xludf.SWITCH('PT AND PC'!$C231,"NGN",'PT AND PC'!$D231,"USD",'PT AND PC'!$D231*1000,"GBP",'PT AND PC'!$D231*1200,"KES",'PT AND PC'!$D231*5.4,"GHS",'PT AND PC'!$D231*80,"XAF",'PT AND PC'!$D231*1.6,"ZAR",'PT AND PC'!$D231*15,"TZS",'PT AND PC'!$D231*0.2,"RWF",'PT AND PC'!$D231*0.4)</f>
        <v>#NAME?</v>
      </c>
      <c r="H231" s="24"/>
      <c r="I231" s="24"/>
    </row>
    <row r="232" spans="1:9" ht="14.25" customHeight="1" x14ac:dyDescent="0.15">
      <c r="A232" s="69" t="s">
        <v>132</v>
      </c>
      <c r="B232" s="70">
        <v>45021</v>
      </c>
      <c r="C232" s="70" t="s">
        <v>56</v>
      </c>
      <c r="D232" s="70">
        <v>5500</v>
      </c>
      <c r="E232" s="70" t="e">
        <f t="array" aca="1" ref="E232" ca="1">_xludf.SWITCH('PT AND PC'!$C232,"NGN",'PT AND PC'!$D232,"USD",'PT AND PC'!$D232*1000,"GBP",'PT AND PC'!$D232*1200,"KES",'PT AND PC'!$D232*5.4,"GHS",'PT AND PC'!$D232*80,"XAF",'PT AND PC'!$D232*1.6,"ZAR",'PT AND PC'!$D232*15,"TZS",'PT AND PC'!$D232*0.2,"RWF",'PT AND PC'!$D232*0.4)</f>
        <v>#NAME?</v>
      </c>
      <c r="H232" s="24"/>
      <c r="I232" s="24"/>
    </row>
    <row r="233" spans="1:9" ht="14.25" customHeight="1" x14ac:dyDescent="0.15">
      <c r="A233" s="71" t="s">
        <v>61</v>
      </c>
      <c r="B233" s="72">
        <v>45021</v>
      </c>
      <c r="C233" s="72" t="s">
        <v>60</v>
      </c>
      <c r="D233" s="72">
        <v>4.7</v>
      </c>
      <c r="E233" s="72" t="e">
        <f t="array" aca="1" ref="E233" ca="1">_xludf.SWITCH('PT AND PC'!$C233,"NGN",'PT AND PC'!$D233,"USD",'PT AND PC'!$D233*1000,"GBP",'PT AND PC'!$D233*1200,"KES",'PT AND PC'!$D233*5.4,"GHS",'PT AND PC'!$D233*80,"XAF",'PT AND PC'!$D233*1.6,"ZAR",'PT AND PC'!$D233*15,"TZS",'PT AND PC'!$D233*0.2,"RWF",'PT AND PC'!$D233*0.4)</f>
        <v>#NAME?</v>
      </c>
      <c r="H233" s="24"/>
      <c r="I233" s="24"/>
    </row>
    <row r="234" spans="1:9" ht="14.25" customHeight="1" x14ac:dyDescent="0.15">
      <c r="A234" s="69" t="s">
        <v>132</v>
      </c>
      <c r="B234" s="70">
        <v>45021</v>
      </c>
      <c r="C234" s="70" t="s">
        <v>56</v>
      </c>
      <c r="D234" s="70">
        <v>5500</v>
      </c>
      <c r="E234" s="70" t="e">
        <f t="array" aca="1" ref="E234" ca="1">_xludf.SWITCH('PT AND PC'!$C234,"NGN",'PT AND PC'!$D234,"USD",'PT AND PC'!$D234*1000,"GBP",'PT AND PC'!$D234*1200,"KES",'PT AND PC'!$D234*5.4,"GHS",'PT AND PC'!$D234*80,"XAF",'PT AND PC'!$D234*1.6,"ZAR",'PT AND PC'!$D234*15,"TZS",'PT AND PC'!$D234*0.2,"RWF",'PT AND PC'!$D234*0.4)</f>
        <v>#NAME?</v>
      </c>
      <c r="H234" s="24"/>
      <c r="I234" s="24"/>
    </row>
    <row r="235" spans="1:9" ht="14.25" customHeight="1" x14ac:dyDescent="0.15">
      <c r="A235" s="71" t="s">
        <v>132</v>
      </c>
      <c r="B235" s="72">
        <v>45021</v>
      </c>
      <c r="C235" s="72" t="s">
        <v>33</v>
      </c>
      <c r="D235" s="72">
        <v>9.34</v>
      </c>
      <c r="E235" s="72" t="e">
        <f t="array" aca="1" ref="E235" ca="1">_xludf.SWITCH('PT AND PC'!$C235,"NGN",'PT AND PC'!$D235,"USD",'PT AND PC'!$D235*1000,"GBP",'PT AND PC'!$D235*1200,"KES",'PT AND PC'!$D235*5.4,"GHS",'PT AND PC'!$D235*80,"XAF",'PT AND PC'!$D235*1.6,"ZAR",'PT AND PC'!$D235*15,"TZS",'PT AND PC'!$D235*0.2,"RWF",'PT AND PC'!$D235*0.4)</f>
        <v>#NAME?</v>
      </c>
      <c r="H235" s="24"/>
      <c r="I235" s="24"/>
    </row>
    <row r="236" spans="1:9" ht="14.25" customHeight="1" x14ac:dyDescent="0.15">
      <c r="A236" s="69" t="s">
        <v>132</v>
      </c>
      <c r="B236" s="70">
        <v>45021</v>
      </c>
      <c r="C236" s="70" t="s">
        <v>56</v>
      </c>
      <c r="D236" s="70">
        <v>5500</v>
      </c>
      <c r="E236" s="70" t="e">
        <f t="array" aca="1" ref="E236" ca="1">_xludf.SWITCH('PT AND PC'!$C236,"NGN",'PT AND PC'!$D236,"USD",'PT AND PC'!$D236*1000,"GBP",'PT AND PC'!$D236*1200,"KES",'PT AND PC'!$D236*5.4,"GHS",'PT AND PC'!$D236*80,"XAF",'PT AND PC'!$D236*1.6,"ZAR",'PT AND PC'!$D236*15,"TZS",'PT AND PC'!$D236*0.2,"RWF",'PT AND PC'!$D236*0.4)</f>
        <v>#NAME?</v>
      </c>
      <c r="H236" s="24"/>
      <c r="I236" s="24"/>
    </row>
    <row r="237" spans="1:9" ht="14.25" customHeight="1" x14ac:dyDescent="0.15">
      <c r="A237" s="71" t="s">
        <v>132</v>
      </c>
      <c r="B237" s="72">
        <v>45021</v>
      </c>
      <c r="C237" s="72" t="s">
        <v>56</v>
      </c>
      <c r="D237" s="72">
        <v>5500</v>
      </c>
      <c r="E237" s="72" t="e">
        <f t="array" aca="1" ref="E237" ca="1">_xludf.SWITCH('PT AND PC'!$C237,"NGN",'PT AND PC'!$D237,"USD",'PT AND PC'!$D237*1000,"GBP",'PT AND PC'!$D237*1200,"KES",'PT AND PC'!$D237*5.4,"GHS",'PT AND PC'!$D237*80,"XAF",'PT AND PC'!$D237*1.6,"ZAR",'PT AND PC'!$D237*15,"TZS",'PT AND PC'!$D237*0.2,"RWF",'PT AND PC'!$D237*0.4)</f>
        <v>#NAME?</v>
      </c>
      <c r="H237" s="24"/>
      <c r="I237" s="24"/>
    </row>
    <row r="238" spans="1:9" ht="14.25" customHeight="1" x14ac:dyDescent="0.15">
      <c r="A238" s="69" t="s">
        <v>132</v>
      </c>
      <c r="B238" s="70">
        <v>45021</v>
      </c>
      <c r="C238" s="70" t="s">
        <v>60</v>
      </c>
      <c r="D238" s="70">
        <v>14</v>
      </c>
      <c r="E238" s="70" t="e">
        <f t="array" aca="1" ref="E238" ca="1">_xludf.SWITCH('PT AND PC'!$C238,"NGN",'PT AND PC'!$D238,"USD",'PT AND PC'!$D238*1000,"GBP",'PT AND PC'!$D238*1200,"KES",'PT AND PC'!$D238*5.4,"GHS",'PT AND PC'!$D238*80,"XAF",'PT AND PC'!$D238*1.6,"ZAR",'PT AND PC'!$D238*15,"TZS",'PT AND PC'!$D238*0.2,"RWF",'PT AND PC'!$D238*0.4)</f>
        <v>#NAME?</v>
      </c>
      <c r="H238" s="24"/>
      <c r="I238" s="24"/>
    </row>
    <row r="239" spans="1:9" ht="14.25" customHeight="1" x14ac:dyDescent="0.15">
      <c r="A239" s="71" t="s">
        <v>61</v>
      </c>
      <c r="B239" s="72">
        <v>45021</v>
      </c>
      <c r="C239" s="72" t="s">
        <v>60</v>
      </c>
      <c r="D239" s="72">
        <v>4.7</v>
      </c>
      <c r="E239" s="72" t="e">
        <f t="array" aca="1" ref="E239" ca="1">_xludf.SWITCH('PT AND PC'!$C239,"NGN",'PT AND PC'!$D239,"USD",'PT AND PC'!$D239*1000,"GBP",'PT AND PC'!$D239*1200,"KES",'PT AND PC'!$D239*5.4,"GHS",'PT AND PC'!$D239*80,"XAF",'PT AND PC'!$D239*1.6,"ZAR",'PT AND PC'!$D239*15,"TZS",'PT AND PC'!$D239*0.2,"RWF",'PT AND PC'!$D239*0.4)</f>
        <v>#NAME?</v>
      </c>
      <c r="H239" s="24"/>
      <c r="I239" s="24"/>
    </row>
    <row r="240" spans="1:9" ht="14.25" customHeight="1" x14ac:dyDescent="0.15">
      <c r="A240" s="69" t="s">
        <v>132</v>
      </c>
      <c r="B240" s="70">
        <v>45021</v>
      </c>
      <c r="C240" s="70" t="s">
        <v>60</v>
      </c>
      <c r="D240" s="70">
        <v>14</v>
      </c>
      <c r="E240" s="70" t="e">
        <f t="array" aca="1" ref="E240" ca="1">_xludf.SWITCH('PT AND PC'!$C240,"NGN",'PT AND PC'!$D240,"USD",'PT AND PC'!$D240*1000,"GBP",'PT AND PC'!$D240*1200,"KES",'PT AND PC'!$D240*5.4,"GHS",'PT AND PC'!$D240*80,"XAF",'PT AND PC'!$D240*1.6,"ZAR",'PT AND PC'!$D240*15,"TZS",'PT AND PC'!$D240*0.2,"RWF",'PT AND PC'!$D240*0.4)</f>
        <v>#NAME?</v>
      </c>
      <c r="H240" s="24"/>
      <c r="I240" s="24"/>
    </row>
    <row r="241" spans="1:9" ht="14.25" customHeight="1" x14ac:dyDescent="0.15">
      <c r="A241" s="71" t="s">
        <v>132</v>
      </c>
      <c r="B241" s="72">
        <v>45021</v>
      </c>
      <c r="C241" s="72" t="s">
        <v>56</v>
      </c>
      <c r="D241" s="72">
        <v>5500</v>
      </c>
      <c r="E241" s="72" t="e">
        <f t="array" aca="1" ref="E241" ca="1">_xludf.SWITCH('PT AND PC'!$C241,"NGN",'PT AND PC'!$D241,"USD",'PT AND PC'!$D241*1000,"GBP",'PT AND PC'!$D241*1200,"KES",'PT AND PC'!$D241*5.4,"GHS",'PT AND PC'!$D241*80,"XAF",'PT AND PC'!$D241*1.6,"ZAR",'PT AND PC'!$D241*15,"TZS",'PT AND PC'!$D241*0.2,"RWF",'PT AND PC'!$D241*0.4)</f>
        <v>#NAME?</v>
      </c>
      <c r="H241" s="24"/>
      <c r="I241" s="24"/>
    </row>
    <row r="242" spans="1:9" ht="14.25" customHeight="1" x14ac:dyDescent="0.15">
      <c r="A242" s="69" t="s">
        <v>132</v>
      </c>
      <c r="B242" s="70">
        <v>45021</v>
      </c>
      <c r="C242" s="70" t="s">
        <v>33</v>
      </c>
      <c r="D242" s="70">
        <v>9.34</v>
      </c>
      <c r="E242" s="70" t="e">
        <f t="array" aca="1" ref="E242" ca="1">_xludf.SWITCH('PT AND PC'!$C242,"NGN",'PT AND PC'!$D242,"USD",'PT AND PC'!$D242*1000,"GBP",'PT AND PC'!$D242*1200,"KES",'PT AND PC'!$D242*5.4,"GHS",'PT AND PC'!$D242*80,"XAF",'PT AND PC'!$D242*1.6,"ZAR",'PT AND PC'!$D242*15,"TZS",'PT AND PC'!$D242*0.2,"RWF",'PT AND PC'!$D242*0.4)</f>
        <v>#NAME?</v>
      </c>
      <c r="H242" s="24"/>
      <c r="I242" s="24"/>
    </row>
    <row r="243" spans="1:9" ht="14.25" customHeight="1" x14ac:dyDescent="0.15">
      <c r="A243" s="71" t="s">
        <v>132</v>
      </c>
      <c r="B243" s="72">
        <v>45021</v>
      </c>
      <c r="C243" s="72" t="s">
        <v>56</v>
      </c>
      <c r="D243" s="72">
        <v>5500</v>
      </c>
      <c r="E243" s="72" t="e">
        <f t="array" aca="1" ref="E243" ca="1">_xludf.SWITCH('PT AND PC'!$C243,"NGN",'PT AND PC'!$D243,"USD",'PT AND PC'!$D243*1000,"GBP",'PT AND PC'!$D243*1200,"KES",'PT AND PC'!$D243*5.4,"GHS",'PT AND PC'!$D243*80,"XAF",'PT AND PC'!$D243*1.6,"ZAR",'PT AND PC'!$D243*15,"TZS",'PT AND PC'!$D243*0.2,"RWF",'PT AND PC'!$D243*0.4)</f>
        <v>#NAME?</v>
      </c>
      <c r="H243" s="24"/>
      <c r="I243" s="24"/>
    </row>
    <row r="244" spans="1:9" ht="14.25" customHeight="1" x14ac:dyDescent="0.15">
      <c r="A244" s="69" t="s">
        <v>132</v>
      </c>
      <c r="B244" s="70">
        <v>45021</v>
      </c>
      <c r="C244" s="70" t="s">
        <v>30</v>
      </c>
      <c r="D244" s="70">
        <v>147</v>
      </c>
      <c r="E244" s="70" t="e">
        <f t="array" aca="1" ref="E244" ca="1">_xludf.SWITCH('PT AND PC'!$C244,"NGN",'PT AND PC'!$D244,"USD",'PT AND PC'!$D244*1000,"GBP",'PT AND PC'!$D244*1200,"KES",'PT AND PC'!$D244*5.4,"GHS",'PT AND PC'!$D244*80,"XAF",'PT AND PC'!$D244*1.6,"ZAR",'PT AND PC'!$D244*15,"TZS",'PT AND PC'!$D244*0.2,"RWF",'PT AND PC'!$D244*0.4)</f>
        <v>#NAME?</v>
      </c>
      <c r="H244" s="24"/>
      <c r="I244" s="24"/>
    </row>
    <row r="245" spans="1:9" ht="14.25" customHeight="1" x14ac:dyDescent="0.15">
      <c r="A245" s="71" t="s">
        <v>132</v>
      </c>
      <c r="B245" s="72">
        <v>45021</v>
      </c>
      <c r="C245" s="72" t="s">
        <v>60</v>
      </c>
      <c r="D245" s="72">
        <v>14</v>
      </c>
      <c r="E245" s="72" t="e">
        <f t="array" aca="1" ref="E245" ca="1">_xludf.SWITCH('PT AND PC'!$C245,"NGN",'PT AND PC'!$D245,"USD",'PT AND PC'!$D245*1000,"GBP",'PT AND PC'!$D245*1200,"KES",'PT AND PC'!$D245*5.4,"GHS",'PT AND PC'!$D245*80,"XAF",'PT AND PC'!$D245*1.6,"ZAR",'PT AND PC'!$D245*15,"TZS",'PT AND PC'!$D245*0.2,"RWF",'PT AND PC'!$D245*0.4)</f>
        <v>#NAME?</v>
      </c>
      <c r="H245" s="24"/>
      <c r="I245" s="24"/>
    </row>
    <row r="246" spans="1:9" ht="14.25" customHeight="1" x14ac:dyDescent="0.15">
      <c r="A246" s="69" t="s">
        <v>132</v>
      </c>
      <c r="B246" s="70">
        <v>45021</v>
      </c>
      <c r="C246" s="70" t="s">
        <v>60</v>
      </c>
      <c r="D246" s="70">
        <v>14</v>
      </c>
      <c r="E246" s="70" t="e">
        <f t="array" aca="1" ref="E246" ca="1">_xludf.SWITCH('PT AND PC'!$C246,"NGN",'PT AND PC'!$D246,"USD",'PT AND PC'!$D246*1000,"GBP",'PT AND PC'!$D246*1200,"KES",'PT AND PC'!$D246*5.4,"GHS",'PT AND PC'!$D246*80,"XAF",'PT AND PC'!$D246*1.6,"ZAR",'PT AND PC'!$D246*15,"TZS",'PT AND PC'!$D246*0.2,"RWF",'PT AND PC'!$D246*0.4)</f>
        <v>#NAME?</v>
      </c>
      <c r="H246" s="24"/>
      <c r="I246" s="24"/>
    </row>
    <row r="247" spans="1:9" ht="14.25" customHeight="1" x14ac:dyDescent="0.15">
      <c r="A247" s="71" t="s">
        <v>132</v>
      </c>
      <c r="B247" s="72">
        <v>45021</v>
      </c>
      <c r="C247" s="72" t="s">
        <v>56</v>
      </c>
      <c r="D247" s="72">
        <v>5500</v>
      </c>
      <c r="E247" s="72" t="e">
        <f t="array" aca="1" ref="E247" ca="1">_xludf.SWITCH('PT AND PC'!$C247,"NGN",'PT AND PC'!$D247,"USD",'PT AND PC'!$D247*1000,"GBP",'PT AND PC'!$D247*1200,"KES",'PT AND PC'!$D247*5.4,"GHS",'PT AND PC'!$D247*80,"XAF",'PT AND PC'!$D247*1.6,"ZAR",'PT AND PC'!$D247*15,"TZS",'PT AND PC'!$D247*0.2,"RWF",'PT AND PC'!$D247*0.4)</f>
        <v>#NAME?</v>
      </c>
      <c r="H247" s="24"/>
      <c r="I247" s="24"/>
    </row>
    <row r="248" spans="1:9" ht="14.25" customHeight="1" x14ac:dyDescent="0.15">
      <c r="A248" s="69" t="s">
        <v>132</v>
      </c>
      <c r="B248" s="70">
        <v>45020</v>
      </c>
      <c r="C248" s="70" t="s">
        <v>60</v>
      </c>
      <c r="D248" s="70">
        <v>14</v>
      </c>
      <c r="E248" s="70" t="e">
        <f t="array" aca="1" ref="E248" ca="1">_xludf.SWITCH('PT AND PC'!$C248,"NGN",'PT AND PC'!$D248,"USD",'PT AND PC'!$D248*1000,"GBP",'PT AND PC'!$D248*1200,"KES",'PT AND PC'!$D248*5.4,"GHS",'PT AND PC'!$D248*80,"XAF",'PT AND PC'!$D248*1.6,"ZAR",'PT AND PC'!$D248*15,"TZS",'PT AND PC'!$D248*0.2,"RWF",'PT AND PC'!$D248*0.4)</f>
        <v>#NAME?</v>
      </c>
      <c r="H248" s="24"/>
      <c r="I248" s="24"/>
    </row>
    <row r="249" spans="1:9" ht="14.25" customHeight="1" x14ac:dyDescent="0.15">
      <c r="A249" s="71" t="s">
        <v>132</v>
      </c>
      <c r="B249" s="72">
        <v>45020</v>
      </c>
      <c r="C249" s="72" t="s">
        <v>56</v>
      </c>
      <c r="D249" s="72">
        <v>5500</v>
      </c>
      <c r="E249" s="72" t="e">
        <f t="array" aca="1" ref="E249" ca="1">_xludf.SWITCH('PT AND PC'!$C249,"NGN",'PT AND PC'!$D249,"USD",'PT AND PC'!$D249*1000,"GBP",'PT AND PC'!$D249*1200,"KES",'PT AND PC'!$D249*5.4,"GHS",'PT AND PC'!$D249*80,"XAF",'PT AND PC'!$D249*1.6,"ZAR",'PT AND PC'!$D249*15,"TZS",'PT AND PC'!$D249*0.2,"RWF",'PT AND PC'!$D249*0.4)</f>
        <v>#NAME?</v>
      </c>
      <c r="H249" s="24"/>
      <c r="I249" s="24"/>
    </row>
    <row r="250" spans="1:9" ht="14.25" customHeight="1" x14ac:dyDescent="0.15">
      <c r="A250" s="69" t="s">
        <v>132</v>
      </c>
      <c r="B250" s="70">
        <v>45020</v>
      </c>
      <c r="C250" s="70" t="s">
        <v>56</v>
      </c>
      <c r="D250" s="70">
        <v>5500</v>
      </c>
      <c r="E250" s="70" t="e">
        <f t="array" aca="1" ref="E250" ca="1">_xludf.SWITCH('PT AND PC'!$C250,"NGN",'PT AND PC'!$D250,"USD",'PT AND PC'!$D250*1000,"GBP",'PT AND PC'!$D250*1200,"KES",'PT AND PC'!$D250*5.4,"GHS",'PT AND PC'!$D250*80,"XAF",'PT AND PC'!$D250*1.6,"ZAR",'PT AND PC'!$D250*15,"TZS",'PT AND PC'!$D250*0.2,"RWF",'PT AND PC'!$D250*0.4)</f>
        <v>#NAME?</v>
      </c>
      <c r="H250" s="24"/>
      <c r="I250" s="24"/>
    </row>
    <row r="251" spans="1:9" ht="14.25" customHeight="1" x14ac:dyDescent="0.15">
      <c r="A251" s="71" t="s">
        <v>132</v>
      </c>
      <c r="B251" s="72">
        <v>45020</v>
      </c>
      <c r="C251" s="72" t="s">
        <v>56</v>
      </c>
      <c r="D251" s="72">
        <v>5500</v>
      </c>
      <c r="E251" s="72" t="e">
        <f t="array" aca="1" ref="E251" ca="1">_xludf.SWITCH('PT AND PC'!$C251,"NGN",'PT AND PC'!$D251,"USD",'PT AND PC'!$D251*1000,"GBP",'PT AND PC'!$D251*1200,"KES",'PT AND PC'!$D251*5.4,"GHS",'PT AND PC'!$D251*80,"XAF",'PT AND PC'!$D251*1.6,"ZAR",'PT AND PC'!$D251*15,"TZS",'PT AND PC'!$D251*0.2,"RWF",'PT AND PC'!$D251*0.4)</f>
        <v>#NAME?</v>
      </c>
      <c r="H251" s="24"/>
      <c r="I251" s="24"/>
    </row>
    <row r="252" spans="1:9" ht="14.25" customHeight="1" x14ac:dyDescent="0.15">
      <c r="A252" s="69" t="s">
        <v>132</v>
      </c>
      <c r="B252" s="70">
        <v>45020</v>
      </c>
      <c r="C252" s="70" t="s">
        <v>56</v>
      </c>
      <c r="D252" s="70">
        <v>5500</v>
      </c>
      <c r="E252" s="70" t="e">
        <f t="array" aca="1" ref="E252" ca="1">_xludf.SWITCH('PT AND PC'!$C252,"NGN",'PT AND PC'!$D252,"USD",'PT AND PC'!$D252*1000,"GBP",'PT AND PC'!$D252*1200,"KES",'PT AND PC'!$D252*5.4,"GHS",'PT AND PC'!$D252*80,"XAF",'PT AND PC'!$D252*1.6,"ZAR",'PT AND PC'!$D252*15,"TZS",'PT AND PC'!$D252*0.2,"RWF",'PT AND PC'!$D252*0.4)</f>
        <v>#NAME?</v>
      </c>
      <c r="H252" s="24"/>
      <c r="I252" s="24"/>
    </row>
    <row r="253" spans="1:9" ht="14.25" customHeight="1" x14ac:dyDescent="0.15">
      <c r="A253" s="71" t="s">
        <v>132</v>
      </c>
      <c r="B253" s="72">
        <v>45020</v>
      </c>
      <c r="C253" s="72" t="s">
        <v>30</v>
      </c>
      <c r="D253" s="72">
        <v>147</v>
      </c>
      <c r="E253" s="72" t="e">
        <f t="array" aca="1" ref="E253" ca="1">_xludf.SWITCH('PT AND PC'!$C253,"NGN",'PT AND PC'!$D253,"USD",'PT AND PC'!$D253*1000,"GBP",'PT AND PC'!$D253*1200,"KES",'PT AND PC'!$D253*5.4,"GHS",'PT AND PC'!$D253*80,"XAF",'PT AND PC'!$D253*1.6,"ZAR",'PT AND PC'!$D253*15,"TZS",'PT AND PC'!$D253*0.2,"RWF",'PT AND PC'!$D253*0.4)</f>
        <v>#NAME?</v>
      </c>
      <c r="H253" s="24"/>
      <c r="I253" s="24"/>
    </row>
    <row r="254" spans="1:9" ht="14.25" customHeight="1" x14ac:dyDescent="0.15">
      <c r="A254" s="69" t="s">
        <v>132</v>
      </c>
      <c r="B254" s="70">
        <v>45020</v>
      </c>
      <c r="C254" s="70" t="s">
        <v>56</v>
      </c>
      <c r="D254" s="70">
        <v>5500</v>
      </c>
      <c r="E254" s="70" t="e">
        <f t="array" aca="1" ref="E254" ca="1">_xludf.SWITCH('PT AND PC'!$C254,"NGN",'PT AND PC'!$D254,"USD",'PT AND PC'!$D254*1000,"GBP",'PT AND PC'!$D254*1200,"KES",'PT AND PC'!$D254*5.4,"GHS",'PT AND PC'!$D254*80,"XAF",'PT AND PC'!$D254*1.6,"ZAR",'PT AND PC'!$D254*15,"TZS",'PT AND PC'!$D254*0.2,"RWF",'PT AND PC'!$D254*0.4)</f>
        <v>#NAME?</v>
      </c>
      <c r="H254" s="24"/>
      <c r="I254" s="24"/>
    </row>
    <row r="255" spans="1:9" ht="14.25" customHeight="1" x14ac:dyDescent="0.15">
      <c r="A255" s="71" t="s">
        <v>132</v>
      </c>
      <c r="B255" s="72">
        <v>45020</v>
      </c>
      <c r="C255" s="72" t="s">
        <v>56</v>
      </c>
      <c r="D255" s="72">
        <v>5500</v>
      </c>
      <c r="E255" s="72" t="e">
        <f t="array" aca="1" ref="E255" ca="1">_xludf.SWITCH('PT AND PC'!$C255,"NGN",'PT AND PC'!$D255,"USD",'PT AND PC'!$D255*1000,"GBP",'PT AND PC'!$D255*1200,"KES",'PT AND PC'!$D255*5.4,"GHS",'PT AND PC'!$D255*80,"XAF",'PT AND PC'!$D255*1.6,"ZAR",'PT AND PC'!$D255*15,"TZS",'PT AND PC'!$D255*0.2,"RWF",'PT AND PC'!$D255*0.4)</f>
        <v>#NAME?</v>
      </c>
      <c r="H255" s="24"/>
      <c r="I255" s="24"/>
    </row>
    <row r="256" spans="1:9" ht="14.25" customHeight="1" x14ac:dyDescent="0.15">
      <c r="A256" s="69" t="s">
        <v>132</v>
      </c>
      <c r="B256" s="70">
        <v>45020</v>
      </c>
      <c r="C256" s="70" t="s">
        <v>60</v>
      </c>
      <c r="D256" s="70">
        <v>14</v>
      </c>
      <c r="E256" s="70" t="e">
        <f t="array" aca="1" ref="E256" ca="1">_xludf.SWITCH('PT AND PC'!$C256,"NGN",'PT AND PC'!$D256,"USD",'PT AND PC'!$D256*1000,"GBP",'PT AND PC'!$D256*1200,"KES",'PT AND PC'!$D256*5.4,"GHS",'PT AND PC'!$D256*80,"XAF",'PT AND PC'!$D256*1.6,"ZAR",'PT AND PC'!$D256*15,"TZS",'PT AND PC'!$D256*0.2,"RWF",'PT AND PC'!$D256*0.4)</f>
        <v>#NAME?</v>
      </c>
      <c r="H256" s="24"/>
      <c r="I256" s="24"/>
    </row>
    <row r="257" spans="1:9" ht="14.25" customHeight="1" x14ac:dyDescent="0.15">
      <c r="A257" s="71" t="s">
        <v>132</v>
      </c>
      <c r="B257" s="72">
        <v>45020</v>
      </c>
      <c r="C257" s="72" t="s">
        <v>56</v>
      </c>
      <c r="D257" s="72">
        <v>5500</v>
      </c>
      <c r="E257" s="72" t="e">
        <f t="array" aca="1" ref="E257" ca="1">_xludf.SWITCH('PT AND PC'!$C257,"NGN",'PT AND PC'!$D257,"USD",'PT AND PC'!$D257*1000,"GBP",'PT AND PC'!$D257*1200,"KES",'PT AND PC'!$D257*5.4,"GHS",'PT AND PC'!$D257*80,"XAF",'PT AND PC'!$D257*1.6,"ZAR",'PT AND PC'!$D257*15,"TZS",'PT AND PC'!$D257*0.2,"RWF",'PT AND PC'!$D257*0.4)</f>
        <v>#NAME?</v>
      </c>
      <c r="H257" s="24"/>
      <c r="I257" s="24"/>
    </row>
    <row r="258" spans="1:9" ht="14.25" customHeight="1" x14ac:dyDescent="0.15">
      <c r="A258" s="69" t="s">
        <v>132</v>
      </c>
      <c r="B258" s="70">
        <v>45019</v>
      </c>
      <c r="C258" s="70" t="s">
        <v>56</v>
      </c>
      <c r="D258" s="70">
        <v>5500</v>
      </c>
      <c r="E258" s="70" t="e">
        <f t="array" aca="1" ref="E258" ca="1">_xludf.SWITCH('PT AND PC'!$C258,"NGN",'PT AND PC'!$D258,"USD",'PT AND PC'!$D258*1000,"GBP",'PT AND PC'!$D258*1200,"KES",'PT AND PC'!$D258*5.4,"GHS",'PT AND PC'!$D258*80,"XAF",'PT AND PC'!$D258*1.6,"ZAR",'PT AND PC'!$D258*15,"TZS",'PT AND PC'!$D258*0.2,"RWF",'PT AND PC'!$D258*0.4)</f>
        <v>#NAME?</v>
      </c>
      <c r="H258" s="24"/>
      <c r="I258" s="24"/>
    </row>
    <row r="259" spans="1:9" ht="14.25" customHeight="1" x14ac:dyDescent="0.15">
      <c r="A259" s="71" t="s">
        <v>132</v>
      </c>
      <c r="B259" s="72">
        <v>45019</v>
      </c>
      <c r="C259" s="72" t="s">
        <v>56</v>
      </c>
      <c r="D259" s="72">
        <v>5500</v>
      </c>
      <c r="E259" s="72" t="e">
        <f t="array" aca="1" ref="E259" ca="1">_xludf.SWITCH('PT AND PC'!$C259,"NGN",'PT AND PC'!$D259,"USD",'PT AND PC'!$D259*1000,"GBP",'PT AND PC'!$D259*1200,"KES",'PT AND PC'!$D259*5.4,"GHS",'PT AND PC'!$D259*80,"XAF",'PT AND PC'!$D259*1.6,"ZAR",'PT AND PC'!$D259*15,"TZS",'PT AND PC'!$D259*0.2,"RWF",'PT AND PC'!$D259*0.4)</f>
        <v>#NAME?</v>
      </c>
      <c r="H259" s="24"/>
      <c r="I259" s="24"/>
    </row>
    <row r="260" spans="1:9" ht="14.25" customHeight="1" x14ac:dyDescent="0.15">
      <c r="A260" s="69" t="s">
        <v>55</v>
      </c>
      <c r="B260" s="70">
        <v>45107</v>
      </c>
      <c r="C260" s="70" t="s">
        <v>30</v>
      </c>
      <c r="D260" s="70">
        <v>59</v>
      </c>
      <c r="E260" s="70" t="e">
        <f t="array" aca="1" ref="E260" ca="1">_xludf.SWITCH('PT AND PC'!$C260,"NGN",'PT AND PC'!$D260,"USD",'PT AND PC'!$D260*1000,"GBP",'PT AND PC'!$D260*1200,"KES",'PT AND PC'!$D260*5.4,"GHS",'PT AND PC'!$D260*80,"XAF",'PT AND PC'!$D260*1.6,"ZAR",'PT AND PC'!$D260*15,"TZS",'PT AND PC'!$D260*0.2,"RWF",'PT AND PC'!$D260*0.4)</f>
        <v>#NAME?</v>
      </c>
      <c r="H260" s="24"/>
      <c r="I260" s="24"/>
    </row>
    <row r="261" spans="1:9" ht="14.25" customHeight="1" x14ac:dyDescent="0.15">
      <c r="A261" s="71" t="s">
        <v>55</v>
      </c>
      <c r="B261" s="72">
        <v>45107</v>
      </c>
      <c r="C261" s="72" t="s">
        <v>30</v>
      </c>
      <c r="D261" s="72">
        <v>59</v>
      </c>
      <c r="E261" s="72" t="e">
        <f t="array" aca="1" ref="E261" ca="1">_xludf.SWITCH('PT AND PC'!$C261,"NGN",'PT AND PC'!$D261,"USD",'PT AND PC'!$D261*1000,"GBP",'PT AND PC'!$D261*1200,"KES",'PT AND PC'!$D261*5.4,"GHS",'PT AND PC'!$D261*80,"XAF",'PT AND PC'!$D261*1.6,"ZAR",'PT AND PC'!$D261*15,"TZS",'PT AND PC'!$D261*0.2,"RWF",'PT AND PC'!$D261*0.4)</f>
        <v>#NAME?</v>
      </c>
      <c r="H261" s="24"/>
      <c r="I261" s="24"/>
    </row>
    <row r="262" spans="1:9" ht="14.25" customHeight="1" x14ac:dyDescent="0.15">
      <c r="A262" s="69" t="s">
        <v>55</v>
      </c>
      <c r="B262" s="70">
        <v>45107</v>
      </c>
      <c r="C262" s="70" t="s">
        <v>30</v>
      </c>
      <c r="D262" s="70">
        <v>59</v>
      </c>
      <c r="E262" s="70" t="e">
        <f t="array" aca="1" ref="E262" ca="1">_xludf.SWITCH('PT AND PC'!$C262,"NGN",'PT AND PC'!$D262,"USD",'PT AND PC'!$D262*1000,"GBP",'PT AND PC'!$D262*1200,"KES",'PT AND PC'!$D262*5.4,"GHS",'PT AND PC'!$D262*80,"XAF",'PT AND PC'!$D262*1.6,"ZAR",'PT AND PC'!$D262*15,"TZS",'PT AND PC'!$D262*0.2,"RWF",'PT AND PC'!$D262*0.4)</f>
        <v>#NAME?</v>
      </c>
      <c r="H262" s="24"/>
      <c r="I262" s="24"/>
    </row>
    <row r="263" spans="1:9" ht="14.25" customHeight="1" x14ac:dyDescent="0.15">
      <c r="A263" s="71" t="s">
        <v>55</v>
      </c>
      <c r="B263" s="72">
        <v>45107</v>
      </c>
      <c r="C263" s="72" t="s">
        <v>30</v>
      </c>
      <c r="D263" s="72">
        <v>59</v>
      </c>
      <c r="E263" s="72" t="e">
        <f t="array" aca="1" ref="E263" ca="1">_xludf.SWITCH('PT AND PC'!$C263,"NGN",'PT AND PC'!$D263,"USD",'PT AND PC'!$D263*1000,"GBP",'PT AND PC'!$D263*1200,"KES",'PT AND PC'!$D263*5.4,"GHS",'PT AND PC'!$D263*80,"XAF",'PT AND PC'!$D263*1.6,"ZAR",'PT AND PC'!$D263*15,"TZS",'PT AND PC'!$D263*0.2,"RWF",'PT AND PC'!$D263*0.4)</f>
        <v>#NAME?</v>
      </c>
      <c r="H263" s="24"/>
      <c r="I263" s="24"/>
    </row>
    <row r="264" spans="1:9" ht="14.25" customHeight="1" x14ac:dyDescent="0.15">
      <c r="A264" s="69" t="s">
        <v>132</v>
      </c>
      <c r="B264" s="70">
        <v>45019</v>
      </c>
      <c r="C264" s="70" t="s">
        <v>56</v>
      </c>
      <c r="D264" s="70">
        <v>5500</v>
      </c>
      <c r="E264" s="70" t="e">
        <f t="array" aca="1" ref="E264" ca="1">_xludf.SWITCH('PT AND PC'!$C264,"NGN",'PT AND PC'!$D264,"USD",'PT AND PC'!$D264*1000,"GBP",'PT AND PC'!$D264*1200,"KES",'PT AND PC'!$D264*5.4,"GHS",'PT AND PC'!$D264*80,"XAF",'PT AND PC'!$D264*1.6,"ZAR",'PT AND PC'!$D264*15,"TZS",'PT AND PC'!$D264*0.2,"RWF",'PT AND PC'!$D264*0.4)</f>
        <v>#NAME?</v>
      </c>
      <c r="H264" s="24"/>
      <c r="I264" s="24"/>
    </row>
    <row r="265" spans="1:9" ht="14.25" customHeight="1" x14ac:dyDescent="0.15">
      <c r="A265" s="71" t="s">
        <v>132</v>
      </c>
      <c r="B265" s="72">
        <v>45019</v>
      </c>
      <c r="C265" s="72" t="s">
        <v>56</v>
      </c>
      <c r="D265" s="72">
        <v>5500</v>
      </c>
      <c r="E265" s="72" t="e">
        <f t="array" aca="1" ref="E265" ca="1">_xludf.SWITCH('PT AND PC'!$C265,"NGN",'PT AND PC'!$D265,"USD",'PT AND PC'!$D265*1000,"GBP",'PT AND PC'!$D265*1200,"KES",'PT AND PC'!$D265*5.4,"GHS",'PT AND PC'!$D265*80,"XAF",'PT AND PC'!$D265*1.6,"ZAR",'PT AND PC'!$D265*15,"TZS",'PT AND PC'!$D265*0.2,"RWF",'PT AND PC'!$D265*0.4)</f>
        <v>#NAME?</v>
      </c>
      <c r="H265" s="24"/>
      <c r="I265" s="24"/>
    </row>
    <row r="266" spans="1:9" ht="14.25" customHeight="1" x14ac:dyDescent="0.15">
      <c r="A266" s="69" t="s">
        <v>132</v>
      </c>
      <c r="B266" s="70">
        <v>45019</v>
      </c>
      <c r="C266" s="70" t="s">
        <v>56</v>
      </c>
      <c r="D266" s="70">
        <v>5500</v>
      </c>
      <c r="E266" s="70" t="e">
        <f t="array" aca="1" ref="E266" ca="1">_xludf.SWITCH('PT AND PC'!$C266,"NGN",'PT AND PC'!$D266,"USD",'PT AND PC'!$D266*1000,"GBP",'PT AND PC'!$D266*1200,"KES",'PT AND PC'!$D266*5.4,"GHS",'PT AND PC'!$D266*80,"XAF",'PT AND PC'!$D266*1.6,"ZAR",'PT AND PC'!$D266*15,"TZS",'PT AND PC'!$D266*0.2,"RWF",'PT AND PC'!$D266*0.4)</f>
        <v>#NAME?</v>
      </c>
      <c r="H266" s="24"/>
      <c r="I266" s="24"/>
    </row>
    <row r="267" spans="1:9" ht="14.25" customHeight="1" x14ac:dyDescent="0.15">
      <c r="A267" s="71" t="s">
        <v>132</v>
      </c>
      <c r="B267" s="72">
        <v>45019</v>
      </c>
      <c r="C267" s="72" t="s">
        <v>56</v>
      </c>
      <c r="D267" s="72">
        <v>5500</v>
      </c>
      <c r="E267" s="72" t="e">
        <f t="array" aca="1" ref="E267" ca="1">_xludf.SWITCH('PT AND PC'!$C267,"NGN",'PT AND PC'!$D267,"USD",'PT AND PC'!$D267*1000,"GBP",'PT AND PC'!$D267*1200,"KES",'PT AND PC'!$D267*5.4,"GHS",'PT AND PC'!$D267*80,"XAF",'PT AND PC'!$D267*1.6,"ZAR",'PT AND PC'!$D267*15,"TZS",'PT AND PC'!$D267*0.2,"RWF",'PT AND PC'!$D267*0.4)</f>
        <v>#NAME?</v>
      </c>
      <c r="H267" s="24"/>
      <c r="I267" s="24"/>
    </row>
    <row r="268" spans="1:9" ht="14.25" customHeight="1" x14ac:dyDescent="0.15">
      <c r="A268" s="69" t="s">
        <v>132</v>
      </c>
      <c r="B268" s="70">
        <v>45019</v>
      </c>
      <c r="C268" s="70" t="s">
        <v>60</v>
      </c>
      <c r="D268" s="70">
        <v>14</v>
      </c>
      <c r="E268" s="70" t="e">
        <f t="array" aca="1" ref="E268" ca="1">_xludf.SWITCH('PT AND PC'!$C268,"NGN",'PT AND PC'!$D268,"USD",'PT AND PC'!$D268*1000,"GBP",'PT AND PC'!$D268*1200,"KES",'PT AND PC'!$D268*5.4,"GHS",'PT AND PC'!$D268*80,"XAF",'PT AND PC'!$D268*1.6,"ZAR",'PT AND PC'!$D268*15,"TZS",'PT AND PC'!$D268*0.2,"RWF",'PT AND PC'!$D268*0.4)</f>
        <v>#NAME?</v>
      </c>
      <c r="H268" s="24"/>
      <c r="I268" s="24"/>
    </row>
    <row r="269" spans="1:9" ht="14.25" customHeight="1" x14ac:dyDescent="0.15">
      <c r="A269" s="71" t="s">
        <v>132</v>
      </c>
      <c r="B269" s="72">
        <v>45019</v>
      </c>
      <c r="C269" s="72" t="s">
        <v>33</v>
      </c>
      <c r="D269" s="72">
        <v>9.48</v>
      </c>
      <c r="E269" s="72" t="e">
        <f t="array" aca="1" ref="E269" ca="1">_xludf.SWITCH('PT AND PC'!$C269,"NGN",'PT AND PC'!$D269,"USD",'PT AND PC'!$D269*1000,"GBP",'PT AND PC'!$D269*1200,"KES",'PT AND PC'!$D269*5.4,"GHS",'PT AND PC'!$D269*80,"XAF",'PT AND PC'!$D269*1.6,"ZAR",'PT AND PC'!$D269*15,"TZS",'PT AND PC'!$D269*0.2,"RWF",'PT AND PC'!$D269*0.4)</f>
        <v>#NAME?</v>
      </c>
      <c r="H269" s="24"/>
      <c r="I269" s="24"/>
    </row>
    <row r="270" spans="1:9" ht="14.25" customHeight="1" x14ac:dyDescent="0.15">
      <c r="A270" s="69" t="s">
        <v>132</v>
      </c>
      <c r="B270" s="70">
        <v>45019</v>
      </c>
      <c r="C270" s="70" t="s">
        <v>56</v>
      </c>
      <c r="D270" s="70">
        <v>5500</v>
      </c>
      <c r="E270" s="70" t="e">
        <f t="array" aca="1" ref="E270" ca="1">_xludf.SWITCH('PT AND PC'!$C270,"NGN",'PT AND PC'!$D270,"USD",'PT AND PC'!$D270*1000,"GBP",'PT AND PC'!$D270*1200,"KES",'PT AND PC'!$D270*5.4,"GHS",'PT AND PC'!$D270*80,"XAF",'PT AND PC'!$D270*1.6,"ZAR",'PT AND PC'!$D270*15,"TZS",'PT AND PC'!$D270*0.2,"RWF",'PT AND PC'!$D270*0.4)</f>
        <v>#NAME?</v>
      </c>
      <c r="H270" s="24"/>
      <c r="I270" s="24"/>
    </row>
    <row r="271" spans="1:9" ht="14.25" customHeight="1" x14ac:dyDescent="0.15">
      <c r="A271" s="71" t="s">
        <v>132</v>
      </c>
      <c r="B271" s="72">
        <v>45018</v>
      </c>
      <c r="C271" s="72" t="s">
        <v>60</v>
      </c>
      <c r="D271" s="72">
        <v>12</v>
      </c>
      <c r="E271" s="72" t="e">
        <f t="array" aca="1" ref="E271" ca="1">_xludf.SWITCH('PT AND PC'!$C271,"NGN",'PT AND PC'!$D271,"USD",'PT AND PC'!$D271*1000,"GBP",'PT AND PC'!$D271*1200,"KES",'PT AND PC'!$D271*5.4,"GHS",'PT AND PC'!$D271*80,"XAF",'PT AND PC'!$D271*1.6,"ZAR",'PT AND PC'!$D271*15,"TZS",'PT AND PC'!$D271*0.2,"RWF",'PT AND PC'!$D271*0.4)</f>
        <v>#NAME?</v>
      </c>
      <c r="H271" s="24"/>
      <c r="I271" s="24"/>
    </row>
    <row r="272" spans="1:9" ht="14.25" customHeight="1" x14ac:dyDescent="0.15">
      <c r="A272" s="69" t="s">
        <v>132</v>
      </c>
      <c r="B272" s="70">
        <v>45018</v>
      </c>
      <c r="C272" s="70" t="s">
        <v>56</v>
      </c>
      <c r="D272" s="70">
        <v>5500</v>
      </c>
      <c r="E272" s="70" t="e">
        <f t="array" aca="1" ref="E272" ca="1">_xludf.SWITCH('PT AND PC'!$C272,"NGN",'PT AND PC'!$D272,"USD",'PT AND PC'!$D272*1000,"GBP",'PT AND PC'!$D272*1200,"KES",'PT AND PC'!$D272*5.4,"GHS",'PT AND PC'!$D272*80,"XAF",'PT AND PC'!$D272*1.6,"ZAR",'PT AND PC'!$D272*15,"TZS",'PT AND PC'!$D272*0.2,"RWF",'PT AND PC'!$D272*0.4)</f>
        <v>#NAME?</v>
      </c>
      <c r="H272" s="24"/>
      <c r="I272" s="24"/>
    </row>
    <row r="273" spans="1:9" ht="14.25" customHeight="1" x14ac:dyDescent="0.15">
      <c r="A273" s="71" t="s">
        <v>61</v>
      </c>
      <c r="B273" s="72">
        <v>45014</v>
      </c>
      <c r="C273" s="72" t="s">
        <v>56</v>
      </c>
      <c r="D273" s="72">
        <v>6500</v>
      </c>
      <c r="E273" s="72" t="e">
        <f t="array" aca="1" ref="E273" ca="1">_xludf.SWITCH('PT AND PC'!$C273,"NGN",'PT AND PC'!$D273,"USD",'PT AND PC'!$D273*1000,"GBP",'PT AND PC'!$D273*1200,"KES",'PT AND PC'!$D273*5.4,"GHS",'PT AND PC'!$D273*80,"XAF",'PT AND PC'!$D273*1.6,"ZAR",'PT AND PC'!$D273*15,"TZS",'PT AND PC'!$D273*0.2,"RWF",'PT AND PC'!$D273*0.4)</f>
        <v>#NAME?</v>
      </c>
      <c r="H273" s="24"/>
      <c r="I273" s="24"/>
    </row>
    <row r="274" spans="1:9" ht="14.25" customHeight="1" x14ac:dyDescent="0.15">
      <c r="A274" s="69" t="s">
        <v>61</v>
      </c>
      <c r="B274" s="70">
        <v>45014</v>
      </c>
      <c r="C274" s="70" t="s">
        <v>56</v>
      </c>
      <c r="D274" s="70">
        <v>6500</v>
      </c>
      <c r="E274" s="70" t="e">
        <f t="array" aca="1" ref="E274" ca="1">_xludf.SWITCH('PT AND PC'!$C274,"NGN",'PT AND PC'!$D274,"USD",'PT AND PC'!$D274*1000,"GBP",'PT AND PC'!$D274*1200,"KES",'PT AND PC'!$D274*5.4,"GHS",'PT AND PC'!$D274*80,"XAF",'PT AND PC'!$D274*1.6,"ZAR",'PT AND PC'!$D274*15,"TZS",'PT AND PC'!$D274*0.2,"RWF",'PT AND PC'!$D274*0.4)</f>
        <v>#NAME?</v>
      </c>
      <c r="H274" s="24"/>
      <c r="I274" s="24"/>
    </row>
    <row r="275" spans="1:9" ht="14.25" customHeight="1" x14ac:dyDescent="0.15">
      <c r="A275" s="71" t="s">
        <v>61</v>
      </c>
      <c r="B275" s="72">
        <v>45014</v>
      </c>
      <c r="C275" s="72" t="s">
        <v>56</v>
      </c>
      <c r="D275" s="72">
        <v>6500</v>
      </c>
      <c r="E275" s="72" t="e">
        <f t="array" aca="1" ref="E275" ca="1">_xludf.SWITCH('PT AND PC'!$C275,"NGN",'PT AND PC'!$D275,"USD",'PT AND PC'!$D275*1000,"GBP",'PT AND PC'!$D275*1200,"KES",'PT AND PC'!$D275*5.4,"GHS",'PT AND PC'!$D275*80,"XAF",'PT AND PC'!$D275*1.6,"ZAR",'PT AND PC'!$D275*15,"TZS",'PT AND PC'!$D275*0.2,"RWF",'PT AND PC'!$D275*0.4)</f>
        <v>#NAME?</v>
      </c>
      <c r="H275" s="24"/>
      <c r="I275" s="24"/>
    </row>
    <row r="276" spans="1:9" ht="14.25" customHeight="1" x14ac:dyDescent="0.15">
      <c r="A276" s="69" t="s">
        <v>61</v>
      </c>
      <c r="B276" s="70">
        <v>45014</v>
      </c>
      <c r="C276" s="70" t="s">
        <v>56</v>
      </c>
      <c r="D276" s="70">
        <v>6500</v>
      </c>
      <c r="E276" s="70" t="e">
        <f t="array" aca="1" ref="E276" ca="1">_xludf.SWITCH('PT AND PC'!$C276,"NGN",'PT AND PC'!$D276,"USD",'PT AND PC'!$D276*1000,"GBP",'PT AND PC'!$D276*1200,"KES",'PT AND PC'!$D276*5.4,"GHS",'PT AND PC'!$D276*80,"XAF",'PT AND PC'!$D276*1.6,"ZAR",'PT AND PC'!$D276*15,"TZS",'PT AND PC'!$D276*0.2,"RWF",'PT AND PC'!$D276*0.4)</f>
        <v>#NAME?</v>
      </c>
      <c r="H276" s="24"/>
      <c r="I276" s="24"/>
    </row>
    <row r="277" spans="1:9" ht="14.25" customHeight="1" x14ac:dyDescent="0.15">
      <c r="A277" s="71" t="s">
        <v>55</v>
      </c>
      <c r="B277" s="72">
        <v>45089</v>
      </c>
      <c r="C277" s="72" t="s">
        <v>33</v>
      </c>
      <c r="D277" s="72">
        <v>20</v>
      </c>
      <c r="E277" s="72" t="e">
        <f t="array" aca="1" ref="E277" ca="1">_xludf.SWITCH('PT AND PC'!$C277,"NGN",'PT AND PC'!$D277,"USD",'PT AND PC'!$D277*1000,"GBP",'PT AND PC'!$D277*1200,"KES",'PT AND PC'!$D277*5.4,"GHS",'PT AND PC'!$D277*80,"XAF",'PT AND PC'!$D277*1.6,"ZAR",'PT AND PC'!$D277*15,"TZS",'PT AND PC'!$D277*0.2,"RWF",'PT AND PC'!$D277*0.4)</f>
        <v>#NAME?</v>
      </c>
      <c r="H277" s="24"/>
      <c r="I277" s="24"/>
    </row>
    <row r="278" spans="1:9" ht="14.25" customHeight="1" x14ac:dyDescent="0.15">
      <c r="A278" s="69" t="s">
        <v>55</v>
      </c>
      <c r="B278" s="70">
        <v>45107</v>
      </c>
      <c r="C278" s="70" t="s">
        <v>30</v>
      </c>
      <c r="D278" s="70">
        <v>59</v>
      </c>
      <c r="E278" s="70" t="e">
        <f t="array" aca="1" ref="E278" ca="1">_xludf.SWITCH('PT AND PC'!$C278,"NGN",'PT AND PC'!$D278,"USD",'PT AND PC'!$D278*1000,"GBP",'PT AND PC'!$D278*1200,"KES",'PT AND PC'!$D278*5.4,"GHS",'PT AND PC'!$D278*80,"XAF",'PT AND PC'!$D278*1.6,"ZAR",'PT AND PC'!$D278*15,"TZS",'PT AND PC'!$D278*0.2,"RWF",'PT AND PC'!$D278*0.4)</f>
        <v>#NAME?</v>
      </c>
      <c r="H278" s="24"/>
      <c r="I278" s="24"/>
    </row>
    <row r="279" spans="1:9" ht="14.25" customHeight="1" x14ac:dyDescent="0.15">
      <c r="A279" s="71" t="s">
        <v>132</v>
      </c>
      <c r="B279" s="72">
        <v>45027</v>
      </c>
      <c r="C279" s="72" t="s">
        <v>60</v>
      </c>
      <c r="D279" s="72">
        <v>14</v>
      </c>
      <c r="E279" s="72" t="e">
        <f t="array" aca="1" ref="E279" ca="1">_xludf.SWITCH('PT AND PC'!$C279,"NGN",'PT AND PC'!$D279,"USD",'PT AND PC'!$D279*1000,"GBP",'PT AND PC'!$D279*1200,"KES",'PT AND PC'!$D279*5.4,"GHS",'PT AND PC'!$D279*80,"XAF",'PT AND PC'!$D279*1.6,"ZAR",'PT AND PC'!$D279*15,"TZS",'PT AND PC'!$D279*0.2,"RWF",'PT AND PC'!$D279*0.4)</f>
        <v>#NAME?</v>
      </c>
      <c r="H279" s="24"/>
      <c r="I279" s="24"/>
    </row>
    <row r="280" spans="1:9" ht="14.25" customHeight="1" x14ac:dyDescent="0.15">
      <c r="A280" s="69" t="s">
        <v>61</v>
      </c>
      <c r="B280" s="70">
        <v>45021</v>
      </c>
      <c r="C280" s="70" t="s">
        <v>60</v>
      </c>
      <c r="D280" s="70">
        <v>4.7</v>
      </c>
      <c r="E280" s="70" t="e">
        <f t="array" aca="1" ref="E280" ca="1">_xludf.SWITCH('PT AND PC'!$C280,"NGN",'PT AND PC'!$D280,"USD",'PT AND PC'!$D280*1000,"GBP",'PT AND PC'!$D280*1200,"KES",'PT AND PC'!$D280*5.4,"GHS",'PT AND PC'!$D280*80,"XAF",'PT AND PC'!$D280*1.6,"ZAR",'PT AND PC'!$D280*15,"TZS",'PT AND PC'!$D280*0.2,"RWF",'PT AND PC'!$D280*0.4)</f>
        <v>#NAME?</v>
      </c>
      <c r="H280" s="24"/>
      <c r="I280" s="24"/>
    </row>
    <row r="281" spans="1:9" ht="14.25" customHeight="1" x14ac:dyDescent="0.15">
      <c r="A281" s="71" t="s">
        <v>132</v>
      </c>
      <c r="B281" s="72">
        <v>45027</v>
      </c>
      <c r="C281" s="72" t="s">
        <v>60</v>
      </c>
      <c r="D281" s="72">
        <v>14</v>
      </c>
      <c r="E281" s="72" t="e">
        <f t="array" aca="1" ref="E281" ca="1">_xludf.SWITCH('PT AND PC'!$C281,"NGN",'PT AND PC'!$D281,"USD",'PT AND PC'!$D281*1000,"GBP",'PT AND PC'!$D281*1200,"KES",'PT AND PC'!$D281*5.4,"GHS",'PT AND PC'!$D281*80,"XAF",'PT AND PC'!$D281*1.6,"ZAR",'PT AND PC'!$D281*15,"TZS",'PT AND PC'!$D281*0.2,"RWF",'PT AND PC'!$D281*0.4)</f>
        <v>#NAME?</v>
      </c>
      <c r="H281" s="24"/>
      <c r="I281" s="24"/>
    </row>
    <row r="282" spans="1:9" ht="14.25" customHeight="1" x14ac:dyDescent="0.15">
      <c r="A282" s="69" t="s">
        <v>132</v>
      </c>
      <c r="B282" s="70">
        <v>45027</v>
      </c>
      <c r="C282" s="70" t="s">
        <v>60</v>
      </c>
      <c r="D282" s="70">
        <v>14</v>
      </c>
      <c r="E282" s="70" t="e">
        <f t="array" aca="1" ref="E282" ca="1">_xludf.SWITCH('PT AND PC'!$C282,"NGN",'PT AND PC'!$D282,"USD",'PT AND PC'!$D282*1000,"GBP",'PT AND PC'!$D282*1200,"KES",'PT AND PC'!$D282*5.4,"GHS",'PT AND PC'!$D282*80,"XAF",'PT AND PC'!$D282*1.6,"ZAR",'PT AND PC'!$D282*15,"TZS",'PT AND PC'!$D282*0.2,"RWF",'PT AND PC'!$D282*0.4)</f>
        <v>#NAME?</v>
      </c>
      <c r="H282" s="24"/>
      <c r="I282" s="24"/>
    </row>
    <row r="283" spans="1:9" ht="14.25" customHeight="1" x14ac:dyDescent="0.15">
      <c r="A283" s="71" t="s">
        <v>132</v>
      </c>
      <c r="B283" s="72">
        <v>45027</v>
      </c>
      <c r="C283" s="72" t="s">
        <v>60</v>
      </c>
      <c r="D283" s="72">
        <v>14</v>
      </c>
      <c r="E283" s="72" t="e">
        <f t="array" aca="1" ref="E283" ca="1">_xludf.SWITCH('PT AND PC'!$C283,"NGN",'PT AND PC'!$D283,"USD",'PT AND PC'!$D283*1000,"GBP",'PT AND PC'!$D283*1200,"KES",'PT AND PC'!$D283*5.4,"GHS",'PT AND PC'!$D283*80,"XAF",'PT AND PC'!$D283*1.6,"ZAR",'PT AND PC'!$D283*15,"TZS",'PT AND PC'!$D283*0.2,"RWF",'PT AND PC'!$D283*0.4)</f>
        <v>#NAME?</v>
      </c>
      <c r="H283" s="24"/>
      <c r="I283" s="24"/>
    </row>
    <row r="284" spans="1:9" ht="14.25" customHeight="1" x14ac:dyDescent="0.15">
      <c r="A284" s="69" t="s">
        <v>132</v>
      </c>
      <c r="B284" s="70">
        <v>45026</v>
      </c>
      <c r="C284" s="70" t="s">
        <v>56</v>
      </c>
      <c r="D284" s="70">
        <v>5500</v>
      </c>
      <c r="E284" s="70" t="e">
        <f t="array" aca="1" ref="E284" ca="1">_xludf.SWITCH('PT AND PC'!$C284,"NGN",'PT AND PC'!$D284,"USD",'PT AND PC'!$D284*1000,"GBP",'PT AND PC'!$D284*1200,"KES",'PT AND PC'!$D284*5.4,"GHS",'PT AND PC'!$D284*80,"XAF",'PT AND PC'!$D284*1.6,"ZAR",'PT AND PC'!$D284*15,"TZS",'PT AND PC'!$D284*0.2,"RWF",'PT AND PC'!$D284*0.4)</f>
        <v>#NAME?</v>
      </c>
      <c r="H284" s="24"/>
      <c r="I284" s="24"/>
    </row>
    <row r="285" spans="1:9" ht="14.25" customHeight="1" x14ac:dyDescent="0.15">
      <c r="A285" s="71" t="s">
        <v>132</v>
      </c>
      <c r="B285" s="72">
        <v>45026</v>
      </c>
      <c r="C285" s="72" t="s">
        <v>60</v>
      </c>
      <c r="D285" s="72">
        <v>14</v>
      </c>
      <c r="E285" s="72" t="e">
        <f t="array" aca="1" ref="E285" ca="1">_xludf.SWITCH('PT AND PC'!$C285,"NGN",'PT AND PC'!$D285,"USD",'PT AND PC'!$D285*1000,"GBP",'PT AND PC'!$D285*1200,"KES",'PT AND PC'!$D285*5.4,"GHS",'PT AND PC'!$D285*80,"XAF",'PT AND PC'!$D285*1.6,"ZAR",'PT AND PC'!$D285*15,"TZS",'PT AND PC'!$D285*0.2,"RWF",'PT AND PC'!$D285*0.4)</f>
        <v>#NAME?</v>
      </c>
      <c r="H285" s="24"/>
      <c r="I285" s="24"/>
    </row>
    <row r="286" spans="1:9" ht="14.25" customHeight="1" x14ac:dyDescent="0.15">
      <c r="A286" s="69" t="s">
        <v>132</v>
      </c>
      <c r="B286" s="70">
        <v>45026</v>
      </c>
      <c r="C286" s="70" t="s">
        <v>58</v>
      </c>
      <c r="D286" s="70">
        <v>1661</v>
      </c>
      <c r="E286" s="70" t="e">
        <f t="array" aca="1" ref="E286" ca="1">_xludf.SWITCH('PT AND PC'!$C286,"NGN",'PT AND PC'!$D286,"USD",'PT AND PC'!$D286*1000,"GBP",'PT AND PC'!$D286*1200,"KES",'PT AND PC'!$D286*5.4,"GHS",'PT AND PC'!$D286*80,"XAF",'PT AND PC'!$D286*1.6,"ZAR",'PT AND PC'!$D286*15,"TZS",'PT AND PC'!$D286*0.2,"RWF",'PT AND PC'!$D286*0.4)</f>
        <v>#NAME?</v>
      </c>
      <c r="H286" s="24"/>
      <c r="I286" s="24"/>
    </row>
    <row r="287" spans="1:9" ht="14.25" customHeight="1" x14ac:dyDescent="0.15">
      <c r="A287" s="71" t="s">
        <v>132</v>
      </c>
      <c r="B287" s="72">
        <v>45026</v>
      </c>
      <c r="C287" s="72" t="s">
        <v>60</v>
      </c>
      <c r="D287" s="72">
        <v>14</v>
      </c>
      <c r="E287" s="72" t="e">
        <f t="array" aca="1" ref="E287" ca="1">_xludf.SWITCH('PT AND PC'!$C287,"NGN",'PT AND PC'!$D287,"USD",'PT AND PC'!$D287*1000,"GBP",'PT AND PC'!$D287*1200,"KES",'PT AND PC'!$D287*5.4,"GHS",'PT AND PC'!$D287*80,"XAF",'PT AND PC'!$D287*1.6,"ZAR",'PT AND PC'!$D287*15,"TZS",'PT AND PC'!$D287*0.2,"RWF",'PT AND PC'!$D287*0.4)</f>
        <v>#NAME?</v>
      </c>
      <c r="H287" s="24"/>
      <c r="I287" s="24"/>
    </row>
    <row r="288" spans="1:9" ht="14.25" customHeight="1" x14ac:dyDescent="0.15">
      <c r="A288" s="69" t="s">
        <v>132</v>
      </c>
      <c r="B288" s="70">
        <v>45026</v>
      </c>
      <c r="C288" s="70" t="s">
        <v>56</v>
      </c>
      <c r="D288" s="70">
        <v>5500</v>
      </c>
      <c r="E288" s="70" t="e">
        <f t="array" aca="1" ref="E288" ca="1">_xludf.SWITCH('PT AND PC'!$C288,"NGN",'PT AND PC'!$D288,"USD",'PT AND PC'!$D288*1000,"GBP",'PT AND PC'!$D288*1200,"KES",'PT AND PC'!$D288*5.4,"GHS",'PT AND PC'!$D288*80,"XAF",'PT AND PC'!$D288*1.6,"ZAR",'PT AND PC'!$D288*15,"TZS",'PT AND PC'!$D288*0.2,"RWF",'PT AND PC'!$D288*0.4)</f>
        <v>#NAME?</v>
      </c>
      <c r="H288" s="24"/>
      <c r="I288" s="24"/>
    </row>
    <row r="289" spans="1:9" ht="14.25" customHeight="1" x14ac:dyDescent="0.15">
      <c r="A289" s="71" t="s">
        <v>132</v>
      </c>
      <c r="B289" s="72">
        <v>45025</v>
      </c>
      <c r="C289" s="72" t="s">
        <v>30</v>
      </c>
      <c r="D289" s="72">
        <v>141</v>
      </c>
      <c r="E289" s="72" t="e">
        <f t="array" aca="1" ref="E289" ca="1">_xludf.SWITCH('PT AND PC'!$C289,"NGN",'PT AND PC'!$D289,"USD",'PT AND PC'!$D289*1000,"GBP",'PT AND PC'!$D289*1200,"KES",'PT AND PC'!$D289*5.4,"GHS",'PT AND PC'!$D289*80,"XAF",'PT AND PC'!$D289*1.6,"ZAR",'PT AND PC'!$D289*15,"TZS",'PT AND PC'!$D289*0.2,"RWF",'PT AND PC'!$D289*0.4)</f>
        <v>#NAME?</v>
      </c>
      <c r="H289" s="24"/>
      <c r="I289" s="24"/>
    </row>
    <row r="290" spans="1:9" ht="14.25" customHeight="1" x14ac:dyDescent="0.15">
      <c r="A290" s="69" t="s">
        <v>132</v>
      </c>
      <c r="B290" s="70">
        <v>45025</v>
      </c>
      <c r="C290" s="70" t="s">
        <v>33</v>
      </c>
      <c r="D290" s="70">
        <v>9.3000000000000007</v>
      </c>
      <c r="E290" s="70" t="e">
        <f t="array" aca="1" ref="E290" ca="1">_xludf.SWITCH('PT AND PC'!$C290,"NGN",'PT AND PC'!$D290,"USD",'PT AND PC'!$D290*1000,"GBP",'PT AND PC'!$D290*1200,"KES",'PT AND PC'!$D290*5.4,"GHS",'PT AND PC'!$D290*80,"XAF",'PT AND PC'!$D290*1.6,"ZAR",'PT AND PC'!$D290*15,"TZS",'PT AND PC'!$D290*0.2,"RWF",'PT AND PC'!$D290*0.4)</f>
        <v>#NAME?</v>
      </c>
      <c r="H290" s="24"/>
      <c r="I290" s="24"/>
    </row>
    <row r="291" spans="1:9" ht="14.25" customHeight="1" x14ac:dyDescent="0.15">
      <c r="A291" s="71" t="s">
        <v>55</v>
      </c>
      <c r="B291" s="72">
        <v>45107</v>
      </c>
      <c r="C291" s="72" t="s">
        <v>30</v>
      </c>
      <c r="D291" s="72">
        <v>59</v>
      </c>
      <c r="E291" s="72" t="e">
        <f t="array" aca="1" ref="E291" ca="1">_xludf.SWITCH('PT AND PC'!$C291,"NGN",'PT AND PC'!$D291,"USD",'PT AND PC'!$D291*1000,"GBP",'PT AND PC'!$D291*1200,"KES",'PT AND PC'!$D291*5.4,"GHS",'PT AND PC'!$D291*80,"XAF",'PT AND PC'!$D291*1.6,"ZAR",'PT AND PC'!$D291*15,"TZS",'PT AND PC'!$D291*0.2,"RWF",'PT AND PC'!$D291*0.4)</f>
        <v>#NAME?</v>
      </c>
      <c r="H291" s="24"/>
      <c r="I291" s="24"/>
    </row>
    <row r="292" spans="1:9" ht="14.25" customHeight="1" x14ac:dyDescent="0.15">
      <c r="A292" s="69" t="s">
        <v>55</v>
      </c>
      <c r="B292" s="70">
        <v>45107</v>
      </c>
      <c r="C292" s="70" t="s">
        <v>30</v>
      </c>
      <c r="D292" s="70">
        <v>59</v>
      </c>
      <c r="E292" s="70" t="e">
        <f t="array" aca="1" ref="E292" ca="1">_xludf.SWITCH('PT AND PC'!$C292,"NGN",'PT AND PC'!$D292,"USD",'PT AND PC'!$D292*1000,"GBP",'PT AND PC'!$D292*1200,"KES",'PT AND PC'!$D292*5.4,"GHS",'PT AND PC'!$D292*80,"XAF",'PT AND PC'!$D292*1.6,"ZAR",'PT AND PC'!$D292*15,"TZS",'PT AND PC'!$D292*0.2,"RWF",'PT AND PC'!$D292*0.4)</f>
        <v>#NAME?</v>
      </c>
      <c r="H292" s="24"/>
      <c r="I292" s="24"/>
    </row>
    <row r="293" spans="1:9" ht="14.25" customHeight="1" x14ac:dyDescent="0.15">
      <c r="A293" s="71" t="s">
        <v>132</v>
      </c>
      <c r="B293" s="72">
        <v>45023</v>
      </c>
      <c r="C293" s="72" t="s">
        <v>56</v>
      </c>
      <c r="D293" s="72">
        <v>5500</v>
      </c>
      <c r="E293" s="72" t="e">
        <f t="array" aca="1" ref="E293" ca="1">_xludf.SWITCH('PT AND PC'!$C293,"NGN",'PT AND PC'!$D293,"USD",'PT AND PC'!$D293*1000,"GBP",'PT AND PC'!$D293*1200,"KES",'PT AND PC'!$D293*5.4,"GHS",'PT AND PC'!$D293*80,"XAF",'PT AND PC'!$D293*1.6,"ZAR",'PT AND PC'!$D293*15,"TZS",'PT AND PC'!$D293*0.2,"RWF",'PT AND PC'!$D293*0.4)</f>
        <v>#NAME?</v>
      </c>
      <c r="H293" s="24"/>
      <c r="I293" s="24"/>
    </row>
    <row r="294" spans="1:9" ht="14.25" customHeight="1" x14ac:dyDescent="0.15">
      <c r="A294" s="69" t="s">
        <v>132</v>
      </c>
      <c r="B294" s="70">
        <v>45023</v>
      </c>
      <c r="C294" s="70" t="s">
        <v>30</v>
      </c>
      <c r="D294" s="70">
        <v>142</v>
      </c>
      <c r="E294" s="70" t="e">
        <f t="array" aca="1" ref="E294" ca="1">_xludf.SWITCH('PT AND PC'!$C294,"NGN",'PT AND PC'!$D294,"USD",'PT AND PC'!$D294*1000,"GBP",'PT AND PC'!$D294*1200,"KES",'PT AND PC'!$D294*5.4,"GHS",'PT AND PC'!$D294*80,"XAF",'PT AND PC'!$D294*1.6,"ZAR",'PT AND PC'!$D294*15,"TZS",'PT AND PC'!$D294*0.2,"RWF",'PT AND PC'!$D294*0.4)</f>
        <v>#NAME?</v>
      </c>
      <c r="H294" s="24"/>
      <c r="I294" s="24"/>
    </row>
    <row r="295" spans="1:9" ht="14.25" customHeight="1" x14ac:dyDescent="0.15">
      <c r="A295" s="71" t="s">
        <v>132</v>
      </c>
      <c r="B295" s="72">
        <v>45023</v>
      </c>
      <c r="C295" s="72" t="s">
        <v>60</v>
      </c>
      <c r="D295" s="72">
        <v>14</v>
      </c>
      <c r="E295" s="72" t="e">
        <f t="array" aca="1" ref="E295" ca="1">_xludf.SWITCH('PT AND PC'!$C295,"NGN",'PT AND PC'!$D295,"USD",'PT AND PC'!$D295*1000,"GBP",'PT AND PC'!$D295*1200,"KES",'PT AND PC'!$D295*5.4,"GHS",'PT AND PC'!$D295*80,"XAF",'PT AND PC'!$D295*1.6,"ZAR",'PT AND PC'!$D295*15,"TZS",'PT AND PC'!$D295*0.2,"RWF",'PT AND PC'!$D295*0.4)</f>
        <v>#NAME?</v>
      </c>
      <c r="H295" s="24"/>
      <c r="I295" s="24"/>
    </row>
    <row r="296" spans="1:9" ht="14.25" customHeight="1" x14ac:dyDescent="0.15">
      <c r="A296" s="69" t="s">
        <v>132</v>
      </c>
      <c r="B296" s="70">
        <v>45023</v>
      </c>
      <c r="C296" s="70" t="s">
        <v>33</v>
      </c>
      <c r="D296" s="70">
        <v>9.3699999999999992</v>
      </c>
      <c r="E296" s="70" t="e">
        <f t="array" aca="1" ref="E296" ca="1">_xludf.SWITCH('PT AND PC'!$C296,"NGN",'PT AND PC'!$D296,"USD",'PT AND PC'!$D296*1000,"GBP",'PT AND PC'!$D296*1200,"KES",'PT AND PC'!$D296*5.4,"GHS",'PT AND PC'!$D296*80,"XAF",'PT AND PC'!$D296*1.6,"ZAR",'PT AND PC'!$D296*15,"TZS",'PT AND PC'!$D296*0.2,"RWF",'PT AND PC'!$D296*0.4)</f>
        <v>#NAME?</v>
      </c>
      <c r="H296" s="24"/>
      <c r="I296" s="24"/>
    </row>
    <row r="297" spans="1:9" ht="14.25" customHeight="1" x14ac:dyDescent="0.15">
      <c r="A297" s="71" t="s">
        <v>132</v>
      </c>
      <c r="B297" s="72">
        <v>45023</v>
      </c>
      <c r="C297" s="72" t="s">
        <v>56</v>
      </c>
      <c r="D297" s="72">
        <v>5500</v>
      </c>
      <c r="E297" s="72" t="e">
        <f t="array" aca="1" ref="E297" ca="1">_xludf.SWITCH('PT AND PC'!$C297,"NGN",'PT AND PC'!$D297,"USD",'PT AND PC'!$D297*1000,"GBP",'PT AND PC'!$D297*1200,"KES",'PT AND PC'!$D297*5.4,"GHS",'PT AND PC'!$D297*80,"XAF",'PT AND PC'!$D297*1.6,"ZAR",'PT AND PC'!$D297*15,"TZS",'PT AND PC'!$D297*0.2,"RWF",'PT AND PC'!$D297*0.4)</f>
        <v>#NAME?</v>
      </c>
      <c r="H297" s="24"/>
      <c r="I297" s="24"/>
    </row>
    <row r="298" spans="1:9" ht="14.25" customHeight="1" x14ac:dyDescent="0.15">
      <c r="A298" s="69" t="s">
        <v>132</v>
      </c>
      <c r="B298" s="70">
        <v>45023</v>
      </c>
      <c r="C298" s="70" t="s">
        <v>56</v>
      </c>
      <c r="D298" s="70">
        <v>5500</v>
      </c>
      <c r="E298" s="70" t="e">
        <f t="array" aca="1" ref="E298" ca="1">_xludf.SWITCH('PT AND PC'!$C298,"NGN",'PT AND PC'!$D298,"USD",'PT AND PC'!$D298*1000,"GBP",'PT AND PC'!$D298*1200,"KES",'PT AND PC'!$D298*5.4,"GHS",'PT AND PC'!$D298*80,"XAF",'PT AND PC'!$D298*1.6,"ZAR",'PT AND PC'!$D298*15,"TZS",'PT AND PC'!$D298*0.2,"RWF",'PT AND PC'!$D298*0.4)</f>
        <v>#NAME?</v>
      </c>
      <c r="H298" s="24"/>
      <c r="I298" s="24"/>
    </row>
    <row r="299" spans="1:9" ht="14.25" customHeight="1" x14ac:dyDescent="0.15">
      <c r="A299" s="71" t="s">
        <v>132</v>
      </c>
      <c r="B299" s="72">
        <v>45023</v>
      </c>
      <c r="C299" s="72" t="s">
        <v>56</v>
      </c>
      <c r="D299" s="72">
        <v>5500</v>
      </c>
      <c r="E299" s="72" t="e">
        <f t="array" aca="1" ref="E299" ca="1">_xludf.SWITCH('PT AND PC'!$C299,"NGN",'PT AND PC'!$D299,"USD",'PT AND PC'!$D299*1000,"GBP",'PT AND PC'!$D299*1200,"KES",'PT AND PC'!$D299*5.4,"GHS",'PT AND PC'!$D299*80,"XAF",'PT AND PC'!$D299*1.6,"ZAR",'PT AND PC'!$D299*15,"TZS",'PT AND PC'!$D299*0.2,"RWF",'PT AND PC'!$D299*0.4)</f>
        <v>#NAME?</v>
      </c>
      <c r="H299" s="24"/>
      <c r="I299" s="24"/>
    </row>
    <row r="300" spans="1:9" ht="14.25" customHeight="1" x14ac:dyDescent="0.15">
      <c r="A300" s="69" t="s">
        <v>132</v>
      </c>
      <c r="B300" s="70">
        <v>45023</v>
      </c>
      <c r="C300" s="70" t="s">
        <v>56</v>
      </c>
      <c r="D300" s="70">
        <v>5500</v>
      </c>
      <c r="E300" s="70" t="e">
        <f t="array" aca="1" ref="E300" ca="1">_xludf.SWITCH('PT AND PC'!$C300,"NGN",'PT AND PC'!$D300,"USD",'PT AND PC'!$D300*1000,"GBP",'PT AND PC'!$D300*1200,"KES",'PT AND PC'!$D300*5.4,"GHS",'PT AND PC'!$D300*80,"XAF",'PT AND PC'!$D300*1.6,"ZAR",'PT AND PC'!$D300*15,"TZS",'PT AND PC'!$D300*0.2,"RWF",'PT AND PC'!$D300*0.4)</f>
        <v>#NAME?</v>
      </c>
      <c r="H300" s="24"/>
      <c r="I300" s="24"/>
    </row>
    <row r="301" spans="1:9" ht="14.25" customHeight="1" x14ac:dyDescent="0.15">
      <c r="A301" s="71" t="s">
        <v>132</v>
      </c>
      <c r="B301" s="72">
        <v>45023</v>
      </c>
      <c r="C301" s="72" t="s">
        <v>60</v>
      </c>
      <c r="D301" s="72">
        <v>14</v>
      </c>
      <c r="E301" s="72" t="e">
        <f t="array" aca="1" ref="E301" ca="1">_xludf.SWITCH('PT AND PC'!$C301,"NGN",'PT AND PC'!$D301,"USD",'PT AND PC'!$D301*1000,"GBP",'PT AND PC'!$D301*1200,"KES",'PT AND PC'!$D301*5.4,"GHS",'PT AND PC'!$D301*80,"XAF",'PT AND PC'!$D301*1.6,"ZAR",'PT AND PC'!$D301*15,"TZS",'PT AND PC'!$D301*0.2,"RWF",'PT AND PC'!$D301*0.4)</f>
        <v>#NAME?</v>
      </c>
      <c r="H301" s="24"/>
      <c r="I301" s="24"/>
    </row>
    <row r="302" spans="1:9" ht="14.25" customHeight="1" x14ac:dyDescent="0.15">
      <c r="A302" s="69" t="s">
        <v>132</v>
      </c>
      <c r="B302" s="70">
        <v>45023</v>
      </c>
      <c r="C302" s="70" t="s">
        <v>56</v>
      </c>
      <c r="D302" s="70">
        <v>5500</v>
      </c>
      <c r="E302" s="70" t="e">
        <f t="array" aca="1" ref="E302" ca="1">_xludf.SWITCH('PT AND PC'!$C302,"NGN",'PT AND PC'!$D302,"USD",'PT AND PC'!$D302*1000,"GBP",'PT AND PC'!$D302*1200,"KES",'PT AND PC'!$D302*5.4,"GHS",'PT AND PC'!$D302*80,"XAF",'PT AND PC'!$D302*1.6,"ZAR",'PT AND PC'!$D302*15,"TZS",'PT AND PC'!$D302*0.2,"RWF",'PT AND PC'!$D302*0.4)</f>
        <v>#NAME?</v>
      </c>
      <c r="H302" s="24"/>
      <c r="I302" s="24"/>
    </row>
    <row r="303" spans="1:9" ht="14.25" customHeight="1" x14ac:dyDescent="0.15">
      <c r="A303" s="71" t="s">
        <v>132</v>
      </c>
      <c r="B303" s="72">
        <v>45023</v>
      </c>
      <c r="C303" s="72" t="s">
        <v>60</v>
      </c>
      <c r="D303" s="72">
        <v>14</v>
      </c>
      <c r="E303" s="72" t="e">
        <f t="array" aca="1" ref="E303" ca="1">_xludf.SWITCH('PT AND PC'!$C303,"NGN",'PT AND PC'!$D303,"USD",'PT AND PC'!$D303*1000,"GBP",'PT AND PC'!$D303*1200,"KES",'PT AND PC'!$D303*5.4,"GHS",'PT AND PC'!$D303*80,"XAF",'PT AND PC'!$D303*1.6,"ZAR",'PT AND PC'!$D303*15,"TZS",'PT AND PC'!$D303*0.2,"RWF",'PT AND PC'!$D303*0.4)</f>
        <v>#NAME?</v>
      </c>
      <c r="H303" s="24"/>
      <c r="I303" s="24"/>
    </row>
    <row r="304" spans="1:9" ht="14.25" customHeight="1" x14ac:dyDescent="0.15">
      <c r="A304" s="69" t="s">
        <v>132</v>
      </c>
      <c r="B304" s="70">
        <v>45023</v>
      </c>
      <c r="C304" s="70" t="s">
        <v>30</v>
      </c>
      <c r="D304" s="70">
        <v>142</v>
      </c>
      <c r="E304" s="70" t="e">
        <f t="array" aca="1" ref="E304" ca="1">_xludf.SWITCH('PT AND PC'!$C304,"NGN",'PT AND PC'!$D304,"USD",'PT AND PC'!$D304*1000,"GBP",'PT AND PC'!$D304*1200,"KES",'PT AND PC'!$D304*5.4,"GHS",'PT AND PC'!$D304*80,"XAF",'PT AND PC'!$D304*1.6,"ZAR",'PT AND PC'!$D304*15,"TZS",'PT AND PC'!$D304*0.2,"RWF",'PT AND PC'!$D304*0.4)</f>
        <v>#NAME?</v>
      </c>
      <c r="H304" s="24"/>
      <c r="I304" s="24"/>
    </row>
    <row r="305" spans="1:9" ht="14.25" customHeight="1" x14ac:dyDescent="0.15">
      <c r="A305" s="71" t="s">
        <v>132</v>
      </c>
      <c r="B305" s="72">
        <v>45023</v>
      </c>
      <c r="C305" s="72" t="s">
        <v>56</v>
      </c>
      <c r="D305" s="72">
        <v>5500</v>
      </c>
      <c r="E305" s="72" t="e">
        <f t="array" aca="1" ref="E305" ca="1">_xludf.SWITCH('PT AND PC'!$C305,"NGN",'PT AND PC'!$D305,"USD",'PT AND PC'!$D305*1000,"GBP",'PT AND PC'!$D305*1200,"KES",'PT AND PC'!$D305*5.4,"GHS",'PT AND PC'!$D305*80,"XAF",'PT AND PC'!$D305*1.6,"ZAR",'PT AND PC'!$D305*15,"TZS",'PT AND PC'!$D305*0.2,"RWF",'PT AND PC'!$D305*0.4)</f>
        <v>#NAME?</v>
      </c>
      <c r="H305" s="24"/>
      <c r="I305" s="24"/>
    </row>
    <row r="306" spans="1:9" ht="14.25" customHeight="1" x14ac:dyDescent="0.15">
      <c r="A306" s="69" t="s">
        <v>132</v>
      </c>
      <c r="B306" s="70">
        <v>45023</v>
      </c>
      <c r="C306" s="70" t="s">
        <v>56</v>
      </c>
      <c r="D306" s="70">
        <v>5500</v>
      </c>
      <c r="E306" s="70" t="e">
        <f t="array" aca="1" ref="E306" ca="1">_xludf.SWITCH('PT AND PC'!$C306,"NGN",'PT AND PC'!$D306,"USD",'PT AND PC'!$D306*1000,"GBP",'PT AND PC'!$D306*1200,"KES",'PT AND PC'!$D306*5.4,"GHS",'PT AND PC'!$D306*80,"XAF",'PT AND PC'!$D306*1.6,"ZAR",'PT AND PC'!$D306*15,"TZS",'PT AND PC'!$D306*0.2,"RWF",'PT AND PC'!$D306*0.4)</f>
        <v>#NAME?</v>
      </c>
      <c r="H306" s="24"/>
      <c r="I306" s="24"/>
    </row>
    <row r="307" spans="1:9" ht="14.25" customHeight="1" x14ac:dyDescent="0.15">
      <c r="A307" s="71" t="s">
        <v>132</v>
      </c>
      <c r="B307" s="72">
        <v>45023</v>
      </c>
      <c r="C307" s="72" t="s">
        <v>56</v>
      </c>
      <c r="D307" s="72">
        <v>5500</v>
      </c>
      <c r="E307" s="72" t="e">
        <f t="array" aca="1" ref="E307" ca="1">_xludf.SWITCH('PT AND PC'!$C307,"NGN",'PT AND PC'!$D307,"USD",'PT AND PC'!$D307*1000,"GBP",'PT AND PC'!$D307*1200,"KES",'PT AND PC'!$D307*5.4,"GHS",'PT AND PC'!$D307*80,"XAF",'PT AND PC'!$D307*1.6,"ZAR",'PT AND PC'!$D307*15,"TZS",'PT AND PC'!$D307*0.2,"RWF",'PT AND PC'!$D307*0.4)</f>
        <v>#NAME?</v>
      </c>
      <c r="H307" s="24"/>
      <c r="I307" s="24"/>
    </row>
    <row r="308" spans="1:9" ht="14.25" customHeight="1" x14ac:dyDescent="0.15">
      <c r="A308" s="69" t="s">
        <v>132</v>
      </c>
      <c r="B308" s="70">
        <v>45023</v>
      </c>
      <c r="C308" s="70" t="s">
        <v>56</v>
      </c>
      <c r="D308" s="70">
        <v>5500</v>
      </c>
      <c r="E308" s="70" t="e">
        <f t="array" aca="1" ref="E308" ca="1">_xludf.SWITCH('PT AND PC'!$C308,"NGN",'PT AND PC'!$D308,"USD",'PT AND PC'!$D308*1000,"GBP",'PT AND PC'!$D308*1200,"KES",'PT AND PC'!$D308*5.4,"GHS",'PT AND PC'!$D308*80,"XAF",'PT AND PC'!$D308*1.6,"ZAR",'PT AND PC'!$D308*15,"TZS",'PT AND PC'!$D308*0.2,"RWF",'PT AND PC'!$D308*0.4)</f>
        <v>#NAME?</v>
      </c>
      <c r="H308" s="24"/>
      <c r="I308" s="24"/>
    </row>
    <row r="309" spans="1:9" ht="14.25" customHeight="1" x14ac:dyDescent="0.15">
      <c r="A309" s="71" t="s">
        <v>132</v>
      </c>
      <c r="B309" s="72">
        <v>45023</v>
      </c>
      <c r="C309" s="72" t="s">
        <v>56</v>
      </c>
      <c r="D309" s="72">
        <v>5500</v>
      </c>
      <c r="E309" s="72" t="e">
        <f t="array" aca="1" ref="E309" ca="1">_xludf.SWITCH('PT AND PC'!$C309,"NGN",'PT AND PC'!$D309,"USD",'PT AND PC'!$D309*1000,"GBP",'PT AND PC'!$D309*1200,"KES",'PT AND PC'!$D309*5.4,"GHS",'PT AND PC'!$D309*80,"XAF",'PT AND PC'!$D309*1.6,"ZAR",'PT AND PC'!$D309*15,"TZS",'PT AND PC'!$D309*0.2,"RWF",'PT AND PC'!$D309*0.4)</f>
        <v>#NAME?</v>
      </c>
      <c r="H309" s="24"/>
      <c r="I309" s="24"/>
    </row>
    <row r="310" spans="1:9" ht="14.25" customHeight="1" x14ac:dyDescent="0.15">
      <c r="A310" s="69" t="s">
        <v>132</v>
      </c>
      <c r="B310" s="70">
        <v>45023</v>
      </c>
      <c r="C310" s="70" t="s">
        <v>60</v>
      </c>
      <c r="D310" s="70">
        <v>14</v>
      </c>
      <c r="E310" s="70" t="e">
        <f t="array" aca="1" ref="E310" ca="1">_xludf.SWITCH('PT AND PC'!$C310,"NGN",'PT AND PC'!$D310,"USD",'PT AND PC'!$D310*1000,"GBP",'PT AND PC'!$D310*1200,"KES",'PT AND PC'!$D310*5.4,"GHS",'PT AND PC'!$D310*80,"XAF",'PT AND PC'!$D310*1.6,"ZAR",'PT AND PC'!$D310*15,"TZS",'PT AND PC'!$D310*0.2,"RWF",'PT AND PC'!$D310*0.4)</f>
        <v>#NAME?</v>
      </c>
      <c r="H310" s="24"/>
      <c r="I310" s="24"/>
    </row>
    <row r="311" spans="1:9" ht="14.25" customHeight="1" x14ac:dyDescent="0.15">
      <c r="A311" s="71" t="s">
        <v>132</v>
      </c>
      <c r="B311" s="72">
        <v>45022</v>
      </c>
      <c r="C311" s="72" t="s">
        <v>60</v>
      </c>
      <c r="D311" s="72">
        <v>14</v>
      </c>
      <c r="E311" s="72" t="e">
        <f t="array" aca="1" ref="E311" ca="1">_xludf.SWITCH('PT AND PC'!$C311,"NGN",'PT AND PC'!$D311,"USD",'PT AND PC'!$D311*1000,"GBP",'PT AND PC'!$D311*1200,"KES",'PT AND PC'!$D311*5.4,"GHS",'PT AND PC'!$D311*80,"XAF",'PT AND PC'!$D311*1.6,"ZAR",'PT AND PC'!$D311*15,"TZS",'PT AND PC'!$D311*0.2,"RWF",'PT AND PC'!$D311*0.4)</f>
        <v>#NAME?</v>
      </c>
      <c r="H311" s="24"/>
      <c r="I311" s="24"/>
    </row>
    <row r="312" spans="1:9" ht="14.25" customHeight="1" x14ac:dyDescent="0.15">
      <c r="A312" s="69" t="s">
        <v>132</v>
      </c>
      <c r="B312" s="70">
        <v>45022</v>
      </c>
      <c r="C312" s="70" t="s">
        <v>56</v>
      </c>
      <c r="D312" s="70">
        <v>5500</v>
      </c>
      <c r="E312" s="70" t="e">
        <f t="array" aca="1" ref="E312" ca="1">_xludf.SWITCH('PT AND PC'!$C312,"NGN",'PT AND PC'!$D312,"USD",'PT AND PC'!$D312*1000,"GBP",'PT AND PC'!$D312*1200,"KES",'PT AND PC'!$D312*5.4,"GHS",'PT AND PC'!$D312*80,"XAF",'PT AND PC'!$D312*1.6,"ZAR",'PT AND PC'!$D312*15,"TZS",'PT AND PC'!$D312*0.2,"RWF",'PT AND PC'!$D312*0.4)</f>
        <v>#NAME?</v>
      </c>
      <c r="H312" s="24"/>
      <c r="I312" s="24"/>
    </row>
    <row r="313" spans="1:9" ht="14.25" customHeight="1" x14ac:dyDescent="0.15">
      <c r="A313" s="71" t="s">
        <v>132</v>
      </c>
      <c r="B313" s="72">
        <v>45022</v>
      </c>
      <c r="C313" s="72" t="s">
        <v>40</v>
      </c>
      <c r="D313" s="72">
        <v>13200.02</v>
      </c>
      <c r="E313" s="72" t="e">
        <f t="array" aca="1" ref="E313" ca="1">_xludf.SWITCH('PT AND PC'!$C313,"NGN",'PT AND PC'!$D313,"USD",'PT AND PC'!$D313*1000,"GBP",'PT AND PC'!$D313*1200,"KES",'PT AND PC'!$D313*5.4,"GHS",'PT AND PC'!$D313*80,"XAF",'PT AND PC'!$D313*1.6,"ZAR",'PT AND PC'!$D313*15,"TZS",'PT AND PC'!$D313*0.2,"RWF",'PT AND PC'!$D313*0.4)</f>
        <v>#NAME?</v>
      </c>
      <c r="H313" s="24"/>
      <c r="I313" s="24"/>
    </row>
    <row r="314" spans="1:9" ht="14.25" customHeight="1" x14ac:dyDescent="0.15">
      <c r="A314" s="69" t="s">
        <v>132</v>
      </c>
      <c r="B314" s="70">
        <v>45022</v>
      </c>
      <c r="C314" s="70" t="s">
        <v>56</v>
      </c>
      <c r="D314" s="70">
        <v>5500</v>
      </c>
      <c r="E314" s="70" t="e">
        <f t="array" aca="1" ref="E314" ca="1">_xludf.SWITCH('PT AND PC'!$C314,"NGN",'PT AND PC'!$D314,"USD",'PT AND PC'!$D314*1000,"GBP",'PT AND PC'!$D314*1200,"KES",'PT AND PC'!$D314*5.4,"GHS",'PT AND PC'!$D314*80,"XAF",'PT AND PC'!$D314*1.6,"ZAR",'PT AND PC'!$D314*15,"TZS",'PT AND PC'!$D314*0.2,"RWF",'PT AND PC'!$D314*0.4)</f>
        <v>#NAME?</v>
      </c>
      <c r="H314" s="24"/>
      <c r="I314" s="24"/>
    </row>
    <row r="315" spans="1:9" ht="14.25" customHeight="1" x14ac:dyDescent="0.15">
      <c r="A315" s="71" t="s">
        <v>132</v>
      </c>
      <c r="B315" s="72">
        <v>45022</v>
      </c>
      <c r="C315" s="72" t="s">
        <v>56</v>
      </c>
      <c r="D315" s="72">
        <v>5500</v>
      </c>
      <c r="E315" s="72" t="e">
        <f t="array" aca="1" ref="E315" ca="1">_xludf.SWITCH('PT AND PC'!$C315,"NGN",'PT AND PC'!$D315,"USD",'PT AND PC'!$D315*1000,"GBP",'PT AND PC'!$D315*1200,"KES",'PT AND PC'!$D315*5.4,"GHS",'PT AND PC'!$D315*80,"XAF",'PT AND PC'!$D315*1.6,"ZAR",'PT AND PC'!$D315*15,"TZS",'PT AND PC'!$D315*0.2,"RWF",'PT AND PC'!$D315*0.4)</f>
        <v>#NAME?</v>
      </c>
      <c r="H315" s="24"/>
      <c r="I315" s="24"/>
    </row>
    <row r="316" spans="1:9" ht="14.25" customHeight="1" x14ac:dyDescent="0.15">
      <c r="A316" s="69" t="s">
        <v>132</v>
      </c>
      <c r="B316" s="70">
        <v>45022</v>
      </c>
      <c r="C316" s="70" t="s">
        <v>56</v>
      </c>
      <c r="D316" s="70">
        <v>5500</v>
      </c>
      <c r="E316" s="70" t="e">
        <f t="array" aca="1" ref="E316" ca="1">_xludf.SWITCH('PT AND PC'!$C316,"NGN",'PT AND PC'!$D316,"USD",'PT AND PC'!$D316*1000,"GBP",'PT AND PC'!$D316*1200,"KES",'PT AND PC'!$D316*5.4,"GHS",'PT AND PC'!$D316*80,"XAF",'PT AND PC'!$D316*1.6,"ZAR",'PT AND PC'!$D316*15,"TZS",'PT AND PC'!$D316*0.2,"RWF",'PT AND PC'!$D316*0.4)</f>
        <v>#NAME?</v>
      </c>
      <c r="H316" s="24"/>
      <c r="I316" s="24"/>
    </row>
    <row r="317" spans="1:9" ht="14.25" customHeight="1" x14ac:dyDescent="0.15">
      <c r="A317" s="71" t="s">
        <v>132</v>
      </c>
      <c r="B317" s="72">
        <v>45022</v>
      </c>
      <c r="C317" s="72" t="s">
        <v>56</v>
      </c>
      <c r="D317" s="72">
        <v>5500</v>
      </c>
      <c r="E317" s="72" t="e">
        <f t="array" aca="1" ref="E317" ca="1">_xludf.SWITCH('PT AND PC'!$C317,"NGN",'PT AND PC'!$D317,"USD",'PT AND PC'!$D317*1000,"GBP",'PT AND PC'!$D317*1200,"KES",'PT AND PC'!$D317*5.4,"GHS",'PT AND PC'!$D317*80,"XAF",'PT AND PC'!$D317*1.6,"ZAR",'PT AND PC'!$D317*15,"TZS",'PT AND PC'!$D317*0.2,"RWF",'PT AND PC'!$D317*0.4)</f>
        <v>#NAME?</v>
      </c>
      <c r="H317" s="24"/>
      <c r="I317" s="24"/>
    </row>
    <row r="318" spans="1:9" ht="14.25" customHeight="1" x14ac:dyDescent="0.15">
      <c r="A318" s="69" t="s">
        <v>132</v>
      </c>
      <c r="B318" s="70">
        <v>45022</v>
      </c>
      <c r="C318" s="70" t="s">
        <v>56</v>
      </c>
      <c r="D318" s="70">
        <v>5500</v>
      </c>
      <c r="E318" s="70" t="e">
        <f t="array" aca="1" ref="E318" ca="1">_xludf.SWITCH('PT AND PC'!$C318,"NGN",'PT AND PC'!$D318,"USD",'PT AND PC'!$D318*1000,"GBP",'PT AND PC'!$D318*1200,"KES",'PT AND PC'!$D318*5.4,"GHS",'PT AND PC'!$D318*80,"XAF",'PT AND PC'!$D318*1.6,"ZAR",'PT AND PC'!$D318*15,"TZS",'PT AND PC'!$D318*0.2,"RWF",'PT AND PC'!$D318*0.4)</f>
        <v>#NAME?</v>
      </c>
      <c r="H318" s="24"/>
      <c r="I318" s="24"/>
    </row>
    <row r="319" spans="1:9" ht="14.25" customHeight="1" x14ac:dyDescent="0.15">
      <c r="A319" s="71" t="s">
        <v>132</v>
      </c>
      <c r="B319" s="72">
        <v>45022</v>
      </c>
      <c r="C319" s="72" t="s">
        <v>56</v>
      </c>
      <c r="D319" s="72">
        <v>5500</v>
      </c>
      <c r="E319" s="72" t="e">
        <f t="array" aca="1" ref="E319" ca="1">_xludf.SWITCH('PT AND PC'!$C319,"NGN",'PT AND PC'!$D319,"USD",'PT AND PC'!$D319*1000,"GBP",'PT AND PC'!$D319*1200,"KES",'PT AND PC'!$D319*5.4,"GHS",'PT AND PC'!$D319*80,"XAF",'PT AND PC'!$D319*1.6,"ZAR",'PT AND PC'!$D319*15,"TZS",'PT AND PC'!$D319*0.2,"RWF",'PT AND PC'!$D319*0.4)</f>
        <v>#NAME?</v>
      </c>
      <c r="H319" s="24"/>
      <c r="I319" s="24"/>
    </row>
    <row r="320" spans="1:9" ht="14.25" customHeight="1" x14ac:dyDescent="0.15">
      <c r="A320" s="69" t="s">
        <v>132</v>
      </c>
      <c r="B320" s="70">
        <v>45022</v>
      </c>
      <c r="C320" s="70" t="s">
        <v>56</v>
      </c>
      <c r="D320" s="70">
        <v>5500</v>
      </c>
      <c r="E320" s="70" t="e">
        <f t="array" aca="1" ref="E320" ca="1">_xludf.SWITCH('PT AND PC'!$C320,"NGN",'PT AND PC'!$D320,"USD",'PT AND PC'!$D320*1000,"GBP",'PT AND PC'!$D320*1200,"KES",'PT AND PC'!$D320*5.4,"GHS",'PT AND PC'!$D320*80,"XAF",'PT AND PC'!$D320*1.6,"ZAR",'PT AND PC'!$D320*15,"TZS",'PT AND PC'!$D320*0.2,"RWF",'PT AND PC'!$D320*0.4)</f>
        <v>#NAME?</v>
      </c>
      <c r="H320" s="24"/>
      <c r="I320" s="24"/>
    </row>
    <row r="321" spans="1:9" ht="14.25" customHeight="1" x14ac:dyDescent="0.15">
      <c r="A321" s="71" t="s">
        <v>132</v>
      </c>
      <c r="B321" s="72">
        <v>45022</v>
      </c>
      <c r="C321" s="72" t="s">
        <v>33</v>
      </c>
      <c r="D321" s="72">
        <v>9.35</v>
      </c>
      <c r="E321" s="72" t="e">
        <f t="array" aca="1" ref="E321" ca="1">_xludf.SWITCH('PT AND PC'!$C321,"NGN",'PT AND PC'!$D321,"USD",'PT AND PC'!$D321*1000,"GBP",'PT AND PC'!$D321*1200,"KES",'PT AND PC'!$D321*5.4,"GHS",'PT AND PC'!$D321*80,"XAF",'PT AND PC'!$D321*1.6,"ZAR",'PT AND PC'!$D321*15,"TZS",'PT AND PC'!$D321*0.2,"RWF",'PT AND PC'!$D321*0.4)</f>
        <v>#NAME?</v>
      </c>
      <c r="H321" s="24"/>
      <c r="I321" s="24"/>
    </row>
    <row r="322" spans="1:9" ht="14.25" customHeight="1" x14ac:dyDescent="0.15">
      <c r="A322" s="69" t="s">
        <v>132</v>
      </c>
      <c r="B322" s="70">
        <v>45022</v>
      </c>
      <c r="C322" s="70" t="s">
        <v>60</v>
      </c>
      <c r="D322" s="70">
        <v>14</v>
      </c>
      <c r="E322" s="70" t="e">
        <f t="array" aca="1" ref="E322" ca="1">_xludf.SWITCH('PT AND PC'!$C322,"NGN",'PT AND PC'!$D322,"USD",'PT AND PC'!$D322*1000,"GBP",'PT AND PC'!$D322*1200,"KES",'PT AND PC'!$D322*5.4,"GHS",'PT AND PC'!$D322*80,"XAF",'PT AND PC'!$D322*1.6,"ZAR",'PT AND PC'!$D322*15,"TZS",'PT AND PC'!$D322*0.2,"RWF",'PT AND PC'!$D322*0.4)</f>
        <v>#NAME?</v>
      </c>
      <c r="H322" s="24"/>
      <c r="I322" s="24"/>
    </row>
    <row r="323" spans="1:9" ht="14.25" customHeight="1" x14ac:dyDescent="0.15">
      <c r="A323" s="71" t="s">
        <v>132</v>
      </c>
      <c r="B323" s="72">
        <v>45022</v>
      </c>
      <c r="C323" s="72" t="s">
        <v>56</v>
      </c>
      <c r="D323" s="72">
        <v>5500</v>
      </c>
      <c r="E323" s="72" t="e">
        <f t="array" aca="1" ref="E323" ca="1">_xludf.SWITCH('PT AND PC'!$C323,"NGN",'PT AND PC'!$D323,"USD",'PT AND PC'!$D323*1000,"GBP",'PT AND PC'!$D323*1200,"KES",'PT AND PC'!$D323*5.4,"GHS",'PT AND PC'!$D323*80,"XAF",'PT AND PC'!$D323*1.6,"ZAR",'PT AND PC'!$D323*15,"TZS",'PT AND PC'!$D323*0.2,"RWF",'PT AND PC'!$D323*0.4)</f>
        <v>#NAME?</v>
      </c>
      <c r="H323" s="24"/>
      <c r="I323" s="24"/>
    </row>
    <row r="324" spans="1:9" ht="14.25" customHeight="1" x14ac:dyDescent="0.15">
      <c r="A324" s="69" t="s">
        <v>132</v>
      </c>
      <c r="B324" s="70">
        <v>45022</v>
      </c>
      <c r="C324" s="70" t="s">
        <v>58</v>
      </c>
      <c r="D324" s="70">
        <v>1657</v>
      </c>
      <c r="E324" s="70" t="e">
        <f t="array" aca="1" ref="E324" ca="1">_xludf.SWITCH('PT AND PC'!$C324,"NGN",'PT AND PC'!$D324,"USD",'PT AND PC'!$D324*1000,"GBP",'PT AND PC'!$D324*1200,"KES",'PT AND PC'!$D324*5.4,"GHS",'PT AND PC'!$D324*80,"XAF",'PT AND PC'!$D324*1.6,"ZAR",'PT AND PC'!$D324*15,"TZS",'PT AND PC'!$D324*0.2,"RWF",'PT AND PC'!$D324*0.4)</f>
        <v>#NAME?</v>
      </c>
      <c r="H324" s="24"/>
      <c r="I324" s="24"/>
    </row>
    <row r="325" spans="1:9" ht="14.25" customHeight="1" x14ac:dyDescent="0.15">
      <c r="A325" s="71" t="s">
        <v>132</v>
      </c>
      <c r="B325" s="72">
        <v>45021</v>
      </c>
      <c r="C325" s="72" t="s">
        <v>33</v>
      </c>
      <c r="D325" s="72">
        <v>9.34</v>
      </c>
      <c r="E325" s="72" t="e">
        <f t="array" aca="1" ref="E325" ca="1">_xludf.SWITCH('PT AND PC'!$C325,"NGN",'PT AND PC'!$D325,"USD",'PT AND PC'!$D325*1000,"GBP",'PT AND PC'!$D325*1200,"KES",'PT AND PC'!$D325*5.4,"GHS",'PT AND PC'!$D325*80,"XAF",'PT AND PC'!$D325*1.6,"ZAR",'PT AND PC'!$D325*15,"TZS",'PT AND PC'!$D325*0.2,"RWF",'PT AND PC'!$D325*0.4)</f>
        <v>#NAME?</v>
      </c>
      <c r="H325" s="24"/>
      <c r="I325" s="24"/>
    </row>
    <row r="326" spans="1:9" ht="14.25" customHeight="1" x14ac:dyDescent="0.15">
      <c r="A326" s="69" t="s">
        <v>132</v>
      </c>
      <c r="B326" s="70">
        <v>45021</v>
      </c>
      <c r="C326" s="70" t="s">
        <v>60</v>
      </c>
      <c r="D326" s="70">
        <v>14</v>
      </c>
      <c r="E326" s="70" t="e">
        <f t="array" aca="1" ref="E326" ca="1">_xludf.SWITCH('PT AND PC'!$C326,"NGN",'PT AND PC'!$D326,"USD",'PT AND PC'!$D326*1000,"GBP",'PT AND PC'!$D326*1200,"KES",'PT AND PC'!$D326*5.4,"GHS",'PT AND PC'!$D326*80,"XAF",'PT AND PC'!$D326*1.6,"ZAR",'PT AND PC'!$D326*15,"TZS",'PT AND PC'!$D326*0.2,"RWF",'PT AND PC'!$D326*0.4)</f>
        <v>#NAME?</v>
      </c>
      <c r="H326" s="24"/>
      <c r="I326" s="24"/>
    </row>
    <row r="327" spans="1:9" ht="14.25" customHeight="1" x14ac:dyDescent="0.15">
      <c r="A327" s="71" t="s">
        <v>132</v>
      </c>
      <c r="B327" s="72">
        <v>45021</v>
      </c>
      <c r="C327" s="72" t="s">
        <v>56</v>
      </c>
      <c r="D327" s="72">
        <v>5500</v>
      </c>
      <c r="E327" s="72" t="e">
        <f t="array" aca="1" ref="E327" ca="1">_xludf.SWITCH('PT AND PC'!$C327,"NGN",'PT AND PC'!$D327,"USD",'PT AND PC'!$D327*1000,"GBP",'PT AND PC'!$D327*1200,"KES",'PT AND PC'!$D327*5.4,"GHS",'PT AND PC'!$D327*80,"XAF",'PT AND PC'!$D327*1.6,"ZAR",'PT AND PC'!$D327*15,"TZS",'PT AND PC'!$D327*0.2,"RWF",'PT AND PC'!$D327*0.4)</f>
        <v>#NAME?</v>
      </c>
      <c r="H327" s="24"/>
      <c r="I327" s="24"/>
    </row>
    <row r="328" spans="1:9" ht="14.25" customHeight="1" x14ac:dyDescent="0.15">
      <c r="A328" s="69" t="s">
        <v>132</v>
      </c>
      <c r="B328" s="70">
        <v>45021</v>
      </c>
      <c r="C328" s="70" t="s">
        <v>56</v>
      </c>
      <c r="D328" s="70">
        <v>5500</v>
      </c>
      <c r="E328" s="70" t="e">
        <f t="array" aca="1" ref="E328" ca="1">_xludf.SWITCH('PT AND PC'!$C328,"NGN",'PT AND PC'!$D328,"USD",'PT AND PC'!$D328*1000,"GBP",'PT AND PC'!$D328*1200,"KES",'PT AND PC'!$D328*5.4,"GHS",'PT AND PC'!$D328*80,"XAF",'PT AND PC'!$D328*1.6,"ZAR",'PT AND PC'!$D328*15,"TZS",'PT AND PC'!$D328*0.2,"RWF",'PT AND PC'!$D328*0.4)</f>
        <v>#NAME?</v>
      </c>
      <c r="H328" s="24"/>
      <c r="I328" s="24"/>
    </row>
    <row r="329" spans="1:9" ht="14.25" customHeight="1" x14ac:dyDescent="0.15">
      <c r="A329" s="71" t="s">
        <v>132</v>
      </c>
      <c r="B329" s="72">
        <v>45021</v>
      </c>
      <c r="C329" s="72" t="s">
        <v>56</v>
      </c>
      <c r="D329" s="72">
        <v>5500</v>
      </c>
      <c r="E329" s="72" t="e">
        <f t="array" aca="1" ref="E329" ca="1">_xludf.SWITCH('PT AND PC'!$C329,"NGN",'PT AND PC'!$D329,"USD",'PT AND PC'!$D329*1000,"GBP",'PT AND PC'!$D329*1200,"KES",'PT AND PC'!$D329*5.4,"GHS",'PT AND PC'!$D329*80,"XAF",'PT AND PC'!$D329*1.6,"ZAR",'PT AND PC'!$D329*15,"TZS",'PT AND PC'!$D329*0.2,"RWF",'PT AND PC'!$D329*0.4)</f>
        <v>#NAME?</v>
      </c>
      <c r="H329" s="24"/>
      <c r="I329" s="24"/>
    </row>
    <row r="330" spans="1:9" ht="14.25" customHeight="1" x14ac:dyDescent="0.15">
      <c r="A330" s="69" t="s">
        <v>132</v>
      </c>
      <c r="B330" s="70">
        <v>45021</v>
      </c>
      <c r="C330" s="70" t="s">
        <v>56</v>
      </c>
      <c r="D330" s="70">
        <v>5500</v>
      </c>
      <c r="E330" s="70" t="e">
        <f t="array" aca="1" ref="E330" ca="1">_xludf.SWITCH('PT AND PC'!$C330,"NGN",'PT AND PC'!$D330,"USD",'PT AND PC'!$D330*1000,"GBP",'PT AND PC'!$D330*1200,"KES",'PT AND PC'!$D330*5.4,"GHS",'PT AND PC'!$D330*80,"XAF",'PT AND PC'!$D330*1.6,"ZAR",'PT AND PC'!$D330*15,"TZS",'PT AND PC'!$D330*0.2,"RWF",'PT AND PC'!$D330*0.4)</f>
        <v>#NAME?</v>
      </c>
      <c r="H330" s="24"/>
      <c r="I330" s="24"/>
    </row>
    <row r="331" spans="1:9" ht="14.25" customHeight="1" x14ac:dyDescent="0.15">
      <c r="A331" s="71" t="s">
        <v>132</v>
      </c>
      <c r="B331" s="72">
        <v>45021</v>
      </c>
      <c r="C331" s="72" t="s">
        <v>56</v>
      </c>
      <c r="D331" s="72">
        <v>5500</v>
      </c>
      <c r="E331" s="72" t="e">
        <f t="array" aca="1" ref="E331" ca="1">_xludf.SWITCH('PT AND PC'!$C331,"NGN",'PT AND PC'!$D331,"USD",'PT AND PC'!$D331*1000,"GBP",'PT AND PC'!$D331*1200,"KES",'PT AND PC'!$D331*5.4,"GHS",'PT AND PC'!$D331*80,"XAF",'PT AND PC'!$D331*1.6,"ZAR",'PT AND PC'!$D331*15,"TZS",'PT AND PC'!$D331*0.2,"RWF",'PT AND PC'!$D331*0.4)</f>
        <v>#NAME?</v>
      </c>
      <c r="H331" s="24"/>
      <c r="I331" s="24"/>
    </row>
    <row r="332" spans="1:9" ht="14.25" customHeight="1" x14ac:dyDescent="0.15">
      <c r="A332" s="69" t="s">
        <v>132</v>
      </c>
      <c r="B332" s="70">
        <v>45021</v>
      </c>
      <c r="C332" s="70" t="s">
        <v>56</v>
      </c>
      <c r="D332" s="70">
        <v>5500</v>
      </c>
      <c r="E332" s="70" t="e">
        <f t="array" aca="1" ref="E332" ca="1">_xludf.SWITCH('PT AND PC'!$C332,"NGN",'PT AND PC'!$D332,"USD",'PT AND PC'!$D332*1000,"GBP",'PT AND PC'!$D332*1200,"KES",'PT AND PC'!$D332*5.4,"GHS",'PT AND PC'!$D332*80,"XAF",'PT AND PC'!$D332*1.6,"ZAR",'PT AND PC'!$D332*15,"TZS",'PT AND PC'!$D332*0.2,"RWF",'PT AND PC'!$D332*0.4)</f>
        <v>#NAME?</v>
      </c>
      <c r="H332" s="24"/>
      <c r="I332" s="24"/>
    </row>
    <row r="333" spans="1:9" ht="14.25" customHeight="1" x14ac:dyDescent="0.15">
      <c r="A333" s="71" t="s">
        <v>61</v>
      </c>
      <c r="B333" s="72">
        <v>45021</v>
      </c>
      <c r="C333" s="72" t="s">
        <v>60</v>
      </c>
      <c r="D333" s="72">
        <v>4.7</v>
      </c>
      <c r="E333" s="72" t="e">
        <f t="array" aca="1" ref="E333" ca="1">_xludf.SWITCH('PT AND PC'!$C333,"NGN",'PT AND PC'!$D333,"USD",'PT AND PC'!$D333*1000,"GBP",'PT AND PC'!$D333*1200,"KES",'PT AND PC'!$D333*5.4,"GHS",'PT AND PC'!$D333*80,"XAF",'PT AND PC'!$D333*1.6,"ZAR",'PT AND PC'!$D333*15,"TZS",'PT AND PC'!$D333*0.2,"RWF",'PT AND PC'!$D333*0.4)</f>
        <v>#NAME?</v>
      </c>
      <c r="H333" s="24"/>
      <c r="I333" s="24"/>
    </row>
    <row r="334" spans="1:9" ht="14.25" customHeight="1" x14ac:dyDescent="0.15">
      <c r="A334" s="69" t="s">
        <v>132</v>
      </c>
      <c r="B334" s="70">
        <v>45021</v>
      </c>
      <c r="C334" s="70" t="s">
        <v>56</v>
      </c>
      <c r="D334" s="70">
        <v>5500</v>
      </c>
      <c r="E334" s="70" t="e">
        <f t="array" aca="1" ref="E334" ca="1">_xludf.SWITCH('PT AND PC'!$C334,"NGN",'PT AND PC'!$D334,"USD",'PT AND PC'!$D334*1000,"GBP",'PT AND PC'!$D334*1200,"KES",'PT AND PC'!$D334*5.4,"GHS",'PT AND PC'!$D334*80,"XAF",'PT AND PC'!$D334*1.6,"ZAR",'PT AND PC'!$D334*15,"TZS",'PT AND PC'!$D334*0.2,"RWF",'PT AND PC'!$D334*0.4)</f>
        <v>#NAME?</v>
      </c>
      <c r="H334" s="24"/>
      <c r="I334" s="24"/>
    </row>
    <row r="335" spans="1:9" ht="14.25" customHeight="1" x14ac:dyDescent="0.15">
      <c r="A335" s="71" t="s">
        <v>132</v>
      </c>
      <c r="B335" s="72">
        <v>45021</v>
      </c>
      <c r="C335" s="72" t="s">
        <v>33</v>
      </c>
      <c r="D335" s="72">
        <v>9.34</v>
      </c>
      <c r="E335" s="72" t="e">
        <f t="array" aca="1" ref="E335" ca="1">_xludf.SWITCH('PT AND PC'!$C335,"NGN",'PT AND PC'!$D335,"USD",'PT AND PC'!$D335*1000,"GBP",'PT AND PC'!$D335*1200,"KES",'PT AND PC'!$D335*5.4,"GHS",'PT AND PC'!$D335*80,"XAF",'PT AND PC'!$D335*1.6,"ZAR",'PT AND PC'!$D335*15,"TZS",'PT AND PC'!$D335*0.2,"RWF",'PT AND PC'!$D335*0.4)</f>
        <v>#NAME?</v>
      </c>
      <c r="H335" s="24"/>
      <c r="I335" s="24"/>
    </row>
    <row r="336" spans="1:9" ht="14.25" customHeight="1" x14ac:dyDescent="0.15">
      <c r="A336" s="69" t="s">
        <v>132</v>
      </c>
      <c r="B336" s="70">
        <v>45021</v>
      </c>
      <c r="C336" s="70" t="s">
        <v>56</v>
      </c>
      <c r="D336" s="70">
        <v>5500</v>
      </c>
      <c r="E336" s="70" t="e">
        <f t="array" aca="1" ref="E336" ca="1">_xludf.SWITCH('PT AND PC'!$C336,"NGN",'PT AND PC'!$D336,"USD",'PT AND PC'!$D336*1000,"GBP",'PT AND PC'!$D336*1200,"KES",'PT AND PC'!$D336*5.4,"GHS",'PT AND PC'!$D336*80,"XAF",'PT AND PC'!$D336*1.6,"ZAR",'PT AND PC'!$D336*15,"TZS",'PT AND PC'!$D336*0.2,"RWF",'PT AND PC'!$D336*0.4)</f>
        <v>#NAME?</v>
      </c>
      <c r="H336" s="24"/>
      <c r="I336" s="24"/>
    </row>
    <row r="337" spans="1:9" ht="14.25" customHeight="1" x14ac:dyDescent="0.15">
      <c r="A337" s="71" t="s">
        <v>132</v>
      </c>
      <c r="B337" s="72">
        <v>45021</v>
      </c>
      <c r="C337" s="72" t="s">
        <v>56</v>
      </c>
      <c r="D337" s="72">
        <v>5500</v>
      </c>
      <c r="E337" s="72" t="e">
        <f t="array" aca="1" ref="E337" ca="1">_xludf.SWITCH('PT AND PC'!$C337,"NGN",'PT AND PC'!$D337,"USD",'PT AND PC'!$D337*1000,"GBP",'PT AND PC'!$D337*1200,"KES",'PT AND PC'!$D337*5.4,"GHS",'PT AND PC'!$D337*80,"XAF",'PT AND PC'!$D337*1.6,"ZAR",'PT AND PC'!$D337*15,"TZS",'PT AND PC'!$D337*0.2,"RWF",'PT AND PC'!$D337*0.4)</f>
        <v>#NAME?</v>
      </c>
      <c r="H337" s="24"/>
      <c r="I337" s="24"/>
    </row>
    <row r="338" spans="1:9" ht="14.25" customHeight="1" x14ac:dyDescent="0.15">
      <c r="A338" s="69" t="s">
        <v>132</v>
      </c>
      <c r="B338" s="70">
        <v>45021</v>
      </c>
      <c r="C338" s="70" t="s">
        <v>60</v>
      </c>
      <c r="D338" s="70">
        <v>14</v>
      </c>
      <c r="E338" s="70" t="e">
        <f t="array" aca="1" ref="E338" ca="1">_xludf.SWITCH('PT AND PC'!$C338,"NGN",'PT AND PC'!$D338,"USD",'PT AND PC'!$D338*1000,"GBP",'PT AND PC'!$D338*1200,"KES",'PT AND PC'!$D338*5.4,"GHS",'PT AND PC'!$D338*80,"XAF",'PT AND PC'!$D338*1.6,"ZAR",'PT AND PC'!$D338*15,"TZS",'PT AND PC'!$D338*0.2,"RWF",'PT AND PC'!$D338*0.4)</f>
        <v>#NAME?</v>
      </c>
      <c r="H338" s="24"/>
      <c r="I338" s="24"/>
    </row>
    <row r="339" spans="1:9" ht="14.25" customHeight="1" x14ac:dyDescent="0.15">
      <c r="A339" s="71" t="s">
        <v>61</v>
      </c>
      <c r="B339" s="72">
        <v>45021</v>
      </c>
      <c r="C339" s="72" t="s">
        <v>60</v>
      </c>
      <c r="D339" s="72">
        <v>4.7</v>
      </c>
      <c r="E339" s="72" t="e">
        <f t="array" aca="1" ref="E339" ca="1">_xludf.SWITCH('PT AND PC'!$C339,"NGN",'PT AND PC'!$D339,"USD",'PT AND PC'!$D339*1000,"GBP",'PT AND PC'!$D339*1200,"KES",'PT AND PC'!$D339*5.4,"GHS",'PT AND PC'!$D339*80,"XAF",'PT AND PC'!$D339*1.6,"ZAR",'PT AND PC'!$D339*15,"TZS",'PT AND PC'!$D339*0.2,"RWF",'PT AND PC'!$D339*0.4)</f>
        <v>#NAME?</v>
      </c>
      <c r="H339" s="24"/>
      <c r="I339" s="24"/>
    </row>
    <row r="340" spans="1:9" ht="14.25" customHeight="1" x14ac:dyDescent="0.15">
      <c r="A340" s="69" t="s">
        <v>132</v>
      </c>
      <c r="B340" s="70">
        <v>45021</v>
      </c>
      <c r="C340" s="70" t="s">
        <v>60</v>
      </c>
      <c r="D340" s="70">
        <v>14</v>
      </c>
      <c r="E340" s="70" t="e">
        <f t="array" aca="1" ref="E340" ca="1">_xludf.SWITCH('PT AND PC'!$C340,"NGN",'PT AND PC'!$D340,"USD",'PT AND PC'!$D340*1000,"GBP",'PT AND PC'!$D340*1200,"KES",'PT AND PC'!$D340*5.4,"GHS",'PT AND PC'!$D340*80,"XAF",'PT AND PC'!$D340*1.6,"ZAR",'PT AND PC'!$D340*15,"TZS",'PT AND PC'!$D340*0.2,"RWF",'PT AND PC'!$D340*0.4)</f>
        <v>#NAME?</v>
      </c>
      <c r="H340" s="24"/>
      <c r="I340" s="24"/>
    </row>
    <row r="341" spans="1:9" ht="14.25" customHeight="1" x14ac:dyDescent="0.15">
      <c r="A341" s="71" t="s">
        <v>132</v>
      </c>
      <c r="B341" s="72">
        <v>45021</v>
      </c>
      <c r="C341" s="72" t="s">
        <v>56</v>
      </c>
      <c r="D341" s="72">
        <v>5500</v>
      </c>
      <c r="E341" s="72" t="e">
        <f t="array" aca="1" ref="E341" ca="1">_xludf.SWITCH('PT AND PC'!$C341,"NGN",'PT AND PC'!$D341,"USD",'PT AND PC'!$D341*1000,"GBP",'PT AND PC'!$D341*1200,"KES",'PT AND PC'!$D341*5.4,"GHS",'PT AND PC'!$D341*80,"XAF",'PT AND PC'!$D341*1.6,"ZAR",'PT AND PC'!$D341*15,"TZS",'PT AND PC'!$D341*0.2,"RWF",'PT AND PC'!$D341*0.4)</f>
        <v>#NAME?</v>
      </c>
      <c r="H341" s="24"/>
      <c r="I341" s="24"/>
    </row>
    <row r="342" spans="1:9" ht="14.25" customHeight="1" x14ac:dyDescent="0.15">
      <c r="A342" s="69" t="s">
        <v>132</v>
      </c>
      <c r="B342" s="70">
        <v>45021</v>
      </c>
      <c r="C342" s="70" t="s">
        <v>33</v>
      </c>
      <c r="D342" s="70">
        <v>9.34</v>
      </c>
      <c r="E342" s="70" t="e">
        <f t="array" aca="1" ref="E342" ca="1">_xludf.SWITCH('PT AND PC'!$C342,"NGN",'PT AND PC'!$D342,"USD",'PT AND PC'!$D342*1000,"GBP",'PT AND PC'!$D342*1200,"KES",'PT AND PC'!$D342*5.4,"GHS",'PT AND PC'!$D342*80,"XAF",'PT AND PC'!$D342*1.6,"ZAR",'PT AND PC'!$D342*15,"TZS",'PT AND PC'!$D342*0.2,"RWF",'PT AND PC'!$D342*0.4)</f>
        <v>#NAME?</v>
      </c>
      <c r="H342" s="24"/>
      <c r="I342" s="24"/>
    </row>
    <row r="343" spans="1:9" ht="14.25" customHeight="1" x14ac:dyDescent="0.15">
      <c r="A343" s="71" t="s">
        <v>132</v>
      </c>
      <c r="B343" s="72">
        <v>45021</v>
      </c>
      <c r="C343" s="72" t="s">
        <v>56</v>
      </c>
      <c r="D343" s="72">
        <v>5500</v>
      </c>
      <c r="E343" s="72" t="e">
        <f t="array" aca="1" ref="E343" ca="1">_xludf.SWITCH('PT AND PC'!$C343,"NGN",'PT AND PC'!$D343,"USD",'PT AND PC'!$D343*1000,"GBP",'PT AND PC'!$D343*1200,"KES",'PT AND PC'!$D343*5.4,"GHS",'PT AND PC'!$D343*80,"XAF",'PT AND PC'!$D343*1.6,"ZAR",'PT AND PC'!$D343*15,"TZS",'PT AND PC'!$D343*0.2,"RWF",'PT AND PC'!$D343*0.4)</f>
        <v>#NAME?</v>
      </c>
      <c r="H343" s="24"/>
      <c r="I343" s="24"/>
    </row>
    <row r="344" spans="1:9" ht="14.25" customHeight="1" x14ac:dyDescent="0.15">
      <c r="A344" s="69" t="s">
        <v>132</v>
      </c>
      <c r="B344" s="70">
        <v>45021</v>
      </c>
      <c r="C344" s="70" t="s">
        <v>30</v>
      </c>
      <c r="D344" s="70">
        <v>147</v>
      </c>
      <c r="E344" s="70" t="e">
        <f t="array" aca="1" ref="E344" ca="1">_xludf.SWITCH('PT AND PC'!$C344,"NGN",'PT AND PC'!$D344,"USD",'PT AND PC'!$D344*1000,"GBP",'PT AND PC'!$D344*1200,"KES",'PT AND PC'!$D344*5.4,"GHS",'PT AND PC'!$D344*80,"XAF",'PT AND PC'!$D344*1.6,"ZAR",'PT AND PC'!$D344*15,"TZS",'PT AND PC'!$D344*0.2,"RWF",'PT AND PC'!$D344*0.4)</f>
        <v>#NAME?</v>
      </c>
      <c r="H344" s="24"/>
      <c r="I344" s="24"/>
    </row>
    <row r="345" spans="1:9" ht="14.25" customHeight="1" x14ac:dyDescent="0.15">
      <c r="A345" s="71" t="s">
        <v>132</v>
      </c>
      <c r="B345" s="72">
        <v>45021</v>
      </c>
      <c r="C345" s="72" t="s">
        <v>60</v>
      </c>
      <c r="D345" s="72">
        <v>14</v>
      </c>
      <c r="E345" s="72" t="e">
        <f t="array" aca="1" ref="E345" ca="1">_xludf.SWITCH('PT AND PC'!$C345,"NGN",'PT AND PC'!$D345,"USD",'PT AND PC'!$D345*1000,"GBP",'PT AND PC'!$D345*1200,"KES",'PT AND PC'!$D345*5.4,"GHS",'PT AND PC'!$D345*80,"XAF",'PT AND PC'!$D345*1.6,"ZAR",'PT AND PC'!$D345*15,"TZS",'PT AND PC'!$D345*0.2,"RWF",'PT AND PC'!$D345*0.4)</f>
        <v>#NAME?</v>
      </c>
      <c r="H345" s="24"/>
      <c r="I345" s="24"/>
    </row>
    <row r="346" spans="1:9" ht="14.25" customHeight="1" x14ac:dyDescent="0.15">
      <c r="A346" s="69" t="s">
        <v>132</v>
      </c>
      <c r="B346" s="70">
        <v>45021</v>
      </c>
      <c r="C346" s="70" t="s">
        <v>60</v>
      </c>
      <c r="D346" s="70">
        <v>14</v>
      </c>
      <c r="E346" s="70" t="e">
        <f t="array" aca="1" ref="E346" ca="1">_xludf.SWITCH('PT AND PC'!$C346,"NGN",'PT AND PC'!$D346,"USD",'PT AND PC'!$D346*1000,"GBP",'PT AND PC'!$D346*1200,"KES",'PT AND PC'!$D346*5.4,"GHS",'PT AND PC'!$D346*80,"XAF",'PT AND PC'!$D346*1.6,"ZAR",'PT AND PC'!$D346*15,"TZS",'PT AND PC'!$D346*0.2,"RWF",'PT AND PC'!$D346*0.4)</f>
        <v>#NAME?</v>
      </c>
      <c r="H346" s="24"/>
      <c r="I346" s="24"/>
    </row>
    <row r="347" spans="1:9" ht="14.25" customHeight="1" x14ac:dyDescent="0.15">
      <c r="A347" s="71" t="s">
        <v>132</v>
      </c>
      <c r="B347" s="72">
        <v>45021</v>
      </c>
      <c r="C347" s="72" t="s">
        <v>56</v>
      </c>
      <c r="D347" s="72">
        <v>5500</v>
      </c>
      <c r="E347" s="72" t="e">
        <f t="array" aca="1" ref="E347" ca="1">_xludf.SWITCH('PT AND PC'!$C347,"NGN",'PT AND PC'!$D347,"USD",'PT AND PC'!$D347*1000,"GBP",'PT AND PC'!$D347*1200,"KES",'PT AND PC'!$D347*5.4,"GHS",'PT AND PC'!$D347*80,"XAF",'PT AND PC'!$D347*1.6,"ZAR",'PT AND PC'!$D347*15,"TZS",'PT AND PC'!$D347*0.2,"RWF",'PT AND PC'!$D347*0.4)</f>
        <v>#NAME?</v>
      </c>
      <c r="H347" s="24"/>
      <c r="I347" s="24"/>
    </row>
    <row r="348" spans="1:9" ht="14.25" customHeight="1" x14ac:dyDescent="0.15">
      <c r="A348" s="69" t="s">
        <v>132</v>
      </c>
      <c r="B348" s="70">
        <v>45020</v>
      </c>
      <c r="C348" s="70" t="s">
        <v>56</v>
      </c>
      <c r="D348" s="70">
        <v>5500</v>
      </c>
      <c r="E348" s="70" t="e">
        <f t="array" aca="1" ref="E348" ca="1">_xludf.SWITCH('PT AND PC'!$C348,"NGN",'PT AND PC'!$D348,"USD",'PT AND PC'!$D348*1000,"GBP",'PT AND PC'!$D348*1200,"KES",'PT AND PC'!$D348*5.4,"GHS",'PT AND PC'!$D348*80,"XAF",'PT AND PC'!$D348*1.6,"ZAR",'PT AND PC'!$D348*15,"TZS",'PT AND PC'!$D348*0.2,"RWF",'PT AND PC'!$D348*0.4)</f>
        <v>#NAME?</v>
      </c>
      <c r="H348" s="24"/>
      <c r="I348" s="24"/>
    </row>
    <row r="349" spans="1:9" ht="14.25" customHeight="1" x14ac:dyDescent="0.15">
      <c r="A349" s="71" t="s">
        <v>132</v>
      </c>
      <c r="B349" s="72">
        <v>45020</v>
      </c>
      <c r="C349" s="72" t="s">
        <v>33</v>
      </c>
      <c r="D349" s="72">
        <v>9.3800000000000008</v>
      </c>
      <c r="E349" s="72" t="e">
        <f t="array" aca="1" ref="E349" ca="1">_xludf.SWITCH('PT AND PC'!$C349,"NGN",'PT AND PC'!$D349,"USD",'PT AND PC'!$D349*1000,"GBP",'PT AND PC'!$D349*1200,"KES",'PT AND PC'!$D349*5.4,"GHS",'PT AND PC'!$D349*80,"XAF",'PT AND PC'!$D349*1.6,"ZAR",'PT AND PC'!$D349*15,"TZS",'PT AND PC'!$D349*0.2,"RWF",'PT AND PC'!$D349*0.4)</f>
        <v>#NAME?</v>
      </c>
      <c r="H349" s="24"/>
      <c r="I349" s="24"/>
    </row>
    <row r="350" spans="1:9" ht="14.25" customHeight="1" x14ac:dyDescent="0.15">
      <c r="A350" s="69" t="s">
        <v>132</v>
      </c>
      <c r="B350" s="70">
        <v>45020</v>
      </c>
      <c r="C350" s="70" t="s">
        <v>56</v>
      </c>
      <c r="D350" s="70">
        <v>5500</v>
      </c>
      <c r="E350" s="70" t="e">
        <f t="array" aca="1" ref="E350" ca="1">_xludf.SWITCH('PT AND PC'!$C350,"NGN",'PT AND PC'!$D350,"USD",'PT AND PC'!$D350*1000,"GBP",'PT AND PC'!$D350*1200,"KES",'PT AND PC'!$D350*5.4,"GHS",'PT AND PC'!$D350*80,"XAF",'PT AND PC'!$D350*1.6,"ZAR",'PT AND PC'!$D350*15,"TZS",'PT AND PC'!$D350*0.2,"RWF",'PT AND PC'!$D350*0.4)</f>
        <v>#NAME?</v>
      </c>
      <c r="H350" s="24"/>
      <c r="I350" s="24"/>
    </row>
    <row r="351" spans="1:9" ht="14.25" customHeight="1" x14ac:dyDescent="0.15">
      <c r="A351" s="71" t="s">
        <v>132</v>
      </c>
      <c r="B351" s="72">
        <v>45020</v>
      </c>
      <c r="C351" s="72" t="s">
        <v>56</v>
      </c>
      <c r="D351" s="72">
        <v>5500</v>
      </c>
      <c r="E351" s="72" t="e">
        <f t="array" aca="1" ref="E351" ca="1">_xludf.SWITCH('PT AND PC'!$C351,"NGN",'PT AND PC'!$D351,"USD",'PT AND PC'!$D351*1000,"GBP",'PT AND PC'!$D351*1200,"KES",'PT AND PC'!$D351*5.4,"GHS",'PT AND PC'!$D351*80,"XAF",'PT AND PC'!$D351*1.6,"ZAR",'PT AND PC'!$D351*15,"TZS",'PT AND PC'!$D351*0.2,"RWF",'PT AND PC'!$D351*0.4)</f>
        <v>#NAME?</v>
      </c>
      <c r="H351" s="24"/>
      <c r="I351" s="24"/>
    </row>
    <row r="352" spans="1:9" ht="14.25" customHeight="1" x14ac:dyDescent="0.15">
      <c r="A352" s="69" t="s">
        <v>132</v>
      </c>
      <c r="B352" s="70">
        <v>45020</v>
      </c>
      <c r="C352" s="70" t="s">
        <v>56</v>
      </c>
      <c r="D352" s="70">
        <v>5500</v>
      </c>
      <c r="E352" s="70" t="e">
        <f t="array" aca="1" ref="E352" ca="1">_xludf.SWITCH('PT AND PC'!$C352,"NGN",'PT AND PC'!$D352,"USD",'PT AND PC'!$D352*1000,"GBP",'PT AND PC'!$D352*1200,"KES",'PT AND PC'!$D352*5.4,"GHS",'PT AND PC'!$D352*80,"XAF",'PT AND PC'!$D352*1.6,"ZAR",'PT AND PC'!$D352*15,"TZS",'PT AND PC'!$D352*0.2,"RWF",'PT AND PC'!$D352*0.4)</f>
        <v>#NAME?</v>
      </c>
      <c r="H352" s="24"/>
      <c r="I352" s="24"/>
    </row>
    <row r="353" spans="1:9" ht="14.25" customHeight="1" x14ac:dyDescent="0.15">
      <c r="A353" s="71" t="s">
        <v>132</v>
      </c>
      <c r="B353" s="72">
        <v>45020</v>
      </c>
      <c r="C353" s="72" t="s">
        <v>33</v>
      </c>
      <c r="D353" s="72">
        <v>9.3800000000000008</v>
      </c>
      <c r="E353" s="72" t="e">
        <f t="array" aca="1" ref="E353" ca="1">_xludf.SWITCH('PT AND PC'!$C353,"NGN",'PT AND PC'!$D353,"USD",'PT AND PC'!$D353*1000,"GBP",'PT AND PC'!$D353*1200,"KES",'PT AND PC'!$D353*5.4,"GHS",'PT AND PC'!$D353*80,"XAF",'PT AND PC'!$D353*1.6,"ZAR",'PT AND PC'!$D353*15,"TZS",'PT AND PC'!$D353*0.2,"RWF",'PT AND PC'!$D353*0.4)</f>
        <v>#NAME?</v>
      </c>
      <c r="H353" s="24"/>
      <c r="I353" s="24"/>
    </row>
    <row r="354" spans="1:9" ht="14.25" customHeight="1" x14ac:dyDescent="0.15">
      <c r="A354" s="69" t="s">
        <v>132</v>
      </c>
      <c r="B354" s="70">
        <v>45020</v>
      </c>
      <c r="C354" s="70" t="s">
        <v>56</v>
      </c>
      <c r="D354" s="70">
        <v>5500</v>
      </c>
      <c r="E354" s="70" t="e">
        <f t="array" aca="1" ref="E354" ca="1">_xludf.SWITCH('PT AND PC'!$C354,"NGN",'PT AND PC'!$D354,"USD",'PT AND PC'!$D354*1000,"GBP",'PT AND PC'!$D354*1200,"KES",'PT AND PC'!$D354*5.4,"GHS",'PT AND PC'!$D354*80,"XAF",'PT AND PC'!$D354*1.6,"ZAR",'PT AND PC'!$D354*15,"TZS",'PT AND PC'!$D354*0.2,"RWF",'PT AND PC'!$D354*0.4)</f>
        <v>#NAME?</v>
      </c>
      <c r="H354" s="24"/>
      <c r="I354" s="24"/>
    </row>
    <row r="355" spans="1:9" ht="14.25" customHeight="1" x14ac:dyDescent="0.15">
      <c r="A355" s="71" t="s">
        <v>132</v>
      </c>
      <c r="B355" s="72">
        <v>45020</v>
      </c>
      <c r="C355" s="72" t="s">
        <v>56</v>
      </c>
      <c r="D355" s="72">
        <v>5500</v>
      </c>
      <c r="E355" s="72" t="e">
        <f t="array" aca="1" ref="E355" ca="1">_xludf.SWITCH('PT AND PC'!$C355,"NGN",'PT AND PC'!$D355,"USD",'PT AND PC'!$D355*1000,"GBP",'PT AND PC'!$D355*1200,"KES",'PT AND PC'!$D355*5.4,"GHS",'PT AND PC'!$D355*80,"XAF",'PT AND PC'!$D355*1.6,"ZAR",'PT AND PC'!$D355*15,"TZS",'PT AND PC'!$D355*0.2,"RWF",'PT AND PC'!$D355*0.4)</f>
        <v>#NAME?</v>
      </c>
      <c r="H355" s="24"/>
      <c r="I355" s="24"/>
    </row>
    <row r="356" spans="1:9" ht="14.25" customHeight="1" x14ac:dyDescent="0.15">
      <c r="A356" s="69" t="s">
        <v>132</v>
      </c>
      <c r="B356" s="70">
        <v>45020</v>
      </c>
      <c r="C356" s="70" t="s">
        <v>60</v>
      </c>
      <c r="D356" s="70">
        <v>14</v>
      </c>
      <c r="E356" s="70" t="e">
        <f t="array" aca="1" ref="E356" ca="1">_xludf.SWITCH('PT AND PC'!$C356,"NGN",'PT AND PC'!$D356,"USD",'PT AND PC'!$D356*1000,"GBP",'PT AND PC'!$D356*1200,"KES",'PT AND PC'!$D356*5.4,"GHS",'PT AND PC'!$D356*80,"XAF",'PT AND PC'!$D356*1.6,"ZAR",'PT AND PC'!$D356*15,"TZS",'PT AND PC'!$D356*0.2,"RWF",'PT AND PC'!$D356*0.4)</f>
        <v>#NAME?</v>
      </c>
      <c r="H356" s="24"/>
      <c r="I356" s="24"/>
    </row>
    <row r="357" spans="1:9" ht="14.25" customHeight="1" x14ac:dyDescent="0.15">
      <c r="A357" s="71" t="s">
        <v>132</v>
      </c>
      <c r="B357" s="72">
        <v>45020</v>
      </c>
      <c r="C357" s="72" t="s">
        <v>60</v>
      </c>
      <c r="D357" s="72">
        <v>14</v>
      </c>
      <c r="E357" s="72" t="e">
        <f t="array" aca="1" ref="E357" ca="1">_xludf.SWITCH('PT AND PC'!$C357,"NGN",'PT AND PC'!$D357,"USD",'PT AND PC'!$D357*1000,"GBP",'PT AND PC'!$D357*1200,"KES",'PT AND PC'!$D357*5.4,"GHS",'PT AND PC'!$D357*80,"XAF",'PT AND PC'!$D357*1.6,"ZAR",'PT AND PC'!$D357*15,"TZS",'PT AND PC'!$D357*0.2,"RWF",'PT AND PC'!$D357*0.4)</f>
        <v>#NAME?</v>
      </c>
      <c r="H357" s="24"/>
      <c r="I357" s="24"/>
    </row>
    <row r="358" spans="1:9" ht="14.25" customHeight="1" x14ac:dyDescent="0.15">
      <c r="A358" s="69" t="s">
        <v>132</v>
      </c>
      <c r="B358" s="70">
        <v>45020</v>
      </c>
      <c r="C358" s="70" t="s">
        <v>56</v>
      </c>
      <c r="D358" s="70">
        <v>5500</v>
      </c>
      <c r="E358" s="70" t="e">
        <f t="array" aca="1" ref="E358" ca="1">_xludf.SWITCH('PT AND PC'!$C358,"NGN",'PT AND PC'!$D358,"USD",'PT AND PC'!$D358*1000,"GBP",'PT AND PC'!$D358*1200,"KES",'PT AND PC'!$D358*5.4,"GHS",'PT AND PC'!$D358*80,"XAF",'PT AND PC'!$D358*1.6,"ZAR",'PT AND PC'!$D358*15,"TZS",'PT AND PC'!$D358*0.2,"RWF",'PT AND PC'!$D358*0.4)</f>
        <v>#NAME?</v>
      </c>
      <c r="H358" s="24"/>
      <c r="I358" s="24"/>
    </row>
    <row r="359" spans="1:9" ht="14.25" customHeight="1" x14ac:dyDescent="0.15">
      <c r="A359" s="71" t="s">
        <v>132</v>
      </c>
      <c r="B359" s="72">
        <v>45020</v>
      </c>
      <c r="C359" s="72" t="s">
        <v>56</v>
      </c>
      <c r="D359" s="72">
        <v>5500</v>
      </c>
      <c r="E359" s="72" t="e">
        <f t="array" aca="1" ref="E359" ca="1">_xludf.SWITCH('PT AND PC'!$C359,"NGN",'PT AND PC'!$D359,"USD",'PT AND PC'!$D359*1000,"GBP",'PT AND PC'!$D359*1200,"KES",'PT AND PC'!$D359*5.4,"GHS",'PT AND PC'!$D359*80,"XAF",'PT AND PC'!$D359*1.6,"ZAR",'PT AND PC'!$D359*15,"TZS",'PT AND PC'!$D359*0.2,"RWF",'PT AND PC'!$D359*0.4)</f>
        <v>#NAME?</v>
      </c>
      <c r="H359" s="24"/>
      <c r="I359" s="24"/>
    </row>
    <row r="360" spans="1:9" ht="14.25" customHeight="1" x14ac:dyDescent="0.15">
      <c r="A360" s="69" t="s">
        <v>132</v>
      </c>
      <c r="B360" s="70">
        <v>45020</v>
      </c>
      <c r="C360" s="70" t="s">
        <v>56</v>
      </c>
      <c r="D360" s="70">
        <v>5500</v>
      </c>
      <c r="E360" s="70" t="e">
        <f t="array" aca="1" ref="E360" ca="1">_xludf.SWITCH('PT AND PC'!$C360,"NGN",'PT AND PC'!$D360,"USD",'PT AND PC'!$D360*1000,"GBP",'PT AND PC'!$D360*1200,"KES",'PT AND PC'!$D360*5.4,"GHS",'PT AND PC'!$D360*80,"XAF",'PT AND PC'!$D360*1.6,"ZAR",'PT AND PC'!$D360*15,"TZS",'PT AND PC'!$D360*0.2,"RWF",'PT AND PC'!$D360*0.4)</f>
        <v>#NAME?</v>
      </c>
      <c r="H360" s="24"/>
      <c r="I360" s="24"/>
    </row>
    <row r="361" spans="1:9" ht="14.25" customHeight="1" x14ac:dyDescent="0.15">
      <c r="A361" s="71" t="s">
        <v>132</v>
      </c>
      <c r="B361" s="72">
        <v>45020</v>
      </c>
      <c r="C361" s="72" t="s">
        <v>33</v>
      </c>
      <c r="D361" s="72">
        <v>9.3800000000000008</v>
      </c>
      <c r="E361" s="72" t="e">
        <f t="array" aca="1" ref="E361" ca="1">_xludf.SWITCH('PT AND PC'!$C361,"NGN",'PT AND PC'!$D361,"USD",'PT AND PC'!$D361*1000,"GBP",'PT AND PC'!$D361*1200,"KES",'PT AND PC'!$D361*5.4,"GHS",'PT AND PC'!$D361*80,"XAF",'PT AND PC'!$D361*1.6,"ZAR",'PT AND PC'!$D361*15,"TZS",'PT AND PC'!$D361*0.2,"RWF",'PT AND PC'!$D361*0.4)</f>
        <v>#NAME?</v>
      </c>
      <c r="H361" s="24"/>
      <c r="I361" s="24"/>
    </row>
    <row r="362" spans="1:9" ht="14.25" customHeight="1" x14ac:dyDescent="0.15">
      <c r="A362" s="69" t="s">
        <v>132</v>
      </c>
      <c r="B362" s="70">
        <v>45020</v>
      </c>
      <c r="C362" s="70" t="s">
        <v>56</v>
      </c>
      <c r="D362" s="70">
        <v>5500</v>
      </c>
      <c r="E362" s="70" t="e">
        <f t="array" aca="1" ref="E362" ca="1">_xludf.SWITCH('PT AND PC'!$C362,"NGN",'PT AND PC'!$D362,"USD",'PT AND PC'!$D362*1000,"GBP",'PT AND PC'!$D362*1200,"KES",'PT AND PC'!$D362*5.4,"GHS",'PT AND PC'!$D362*80,"XAF",'PT AND PC'!$D362*1.6,"ZAR",'PT AND PC'!$D362*15,"TZS",'PT AND PC'!$D362*0.2,"RWF",'PT AND PC'!$D362*0.4)</f>
        <v>#NAME?</v>
      </c>
      <c r="H362" s="24"/>
      <c r="I362" s="24"/>
    </row>
    <row r="363" spans="1:9" ht="14.25" customHeight="1" x14ac:dyDescent="0.15">
      <c r="A363" s="71" t="s">
        <v>132</v>
      </c>
      <c r="B363" s="72">
        <v>45020</v>
      </c>
      <c r="C363" s="72" t="s">
        <v>56</v>
      </c>
      <c r="D363" s="72">
        <v>5500</v>
      </c>
      <c r="E363" s="72" t="e">
        <f t="array" aca="1" ref="E363" ca="1">_xludf.SWITCH('PT AND PC'!$C363,"NGN",'PT AND PC'!$D363,"USD",'PT AND PC'!$D363*1000,"GBP",'PT AND PC'!$D363*1200,"KES",'PT AND PC'!$D363*5.4,"GHS",'PT AND PC'!$D363*80,"XAF",'PT AND PC'!$D363*1.6,"ZAR",'PT AND PC'!$D363*15,"TZS",'PT AND PC'!$D363*0.2,"RWF",'PT AND PC'!$D363*0.4)</f>
        <v>#NAME?</v>
      </c>
      <c r="H363" s="24"/>
      <c r="I363" s="24"/>
    </row>
    <row r="364" spans="1:9" ht="14.25" customHeight="1" x14ac:dyDescent="0.15">
      <c r="A364" s="69" t="s">
        <v>132</v>
      </c>
      <c r="B364" s="70">
        <v>45020</v>
      </c>
      <c r="C364" s="70" t="s">
        <v>60</v>
      </c>
      <c r="D364" s="70">
        <v>14</v>
      </c>
      <c r="E364" s="70" t="e">
        <f t="array" aca="1" ref="E364" ca="1">_xludf.SWITCH('PT AND PC'!$C364,"NGN",'PT AND PC'!$D364,"USD",'PT AND PC'!$D364*1000,"GBP",'PT AND PC'!$D364*1200,"KES",'PT AND PC'!$D364*5.4,"GHS",'PT AND PC'!$D364*80,"XAF",'PT AND PC'!$D364*1.6,"ZAR",'PT AND PC'!$D364*15,"TZS",'PT AND PC'!$D364*0.2,"RWF",'PT AND PC'!$D364*0.4)</f>
        <v>#NAME?</v>
      </c>
      <c r="H364" s="24"/>
      <c r="I364" s="24"/>
    </row>
    <row r="365" spans="1:9" ht="14.25" customHeight="1" x14ac:dyDescent="0.15">
      <c r="A365" s="71" t="s">
        <v>132</v>
      </c>
      <c r="B365" s="72">
        <v>45020</v>
      </c>
      <c r="C365" s="72" t="s">
        <v>60</v>
      </c>
      <c r="D365" s="72">
        <v>14</v>
      </c>
      <c r="E365" s="72" t="e">
        <f t="array" aca="1" ref="E365" ca="1">_xludf.SWITCH('PT AND PC'!$C365,"NGN",'PT AND PC'!$D365,"USD",'PT AND PC'!$D365*1000,"GBP",'PT AND PC'!$D365*1200,"KES",'PT AND PC'!$D365*5.4,"GHS",'PT AND PC'!$D365*80,"XAF",'PT AND PC'!$D365*1.6,"ZAR",'PT AND PC'!$D365*15,"TZS",'PT AND PC'!$D365*0.2,"RWF",'PT AND PC'!$D365*0.4)</f>
        <v>#NAME?</v>
      </c>
      <c r="H365" s="24"/>
      <c r="I365" s="24"/>
    </row>
    <row r="366" spans="1:9" ht="14.25" customHeight="1" x14ac:dyDescent="0.15">
      <c r="A366" s="69" t="s">
        <v>132</v>
      </c>
      <c r="B366" s="70">
        <v>45020</v>
      </c>
      <c r="C366" s="70" t="s">
        <v>56</v>
      </c>
      <c r="D366" s="70">
        <v>5500</v>
      </c>
      <c r="E366" s="70" t="e">
        <f t="array" aca="1" ref="E366" ca="1">_xludf.SWITCH('PT AND PC'!$C366,"NGN",'PT AND PC'!$D366,"USD",'PT AND PC'!$D366*1000,"GBP",'PT AND PC'!$D366*1200,"KES",'PT AND PC'!$D366*5.4,"GHS",'PT AND PC'!$D366*80,"XAF",'PT AND PC'!$D366*1.6,"ZAR",'PT AND PC'!$D366*15,"TZS",'PT AND PC'!$D366*0.2,"RWF",'PT AND PC'!$D366*0.4)</f>
        <v>#NAME?</v>
      </c>
      <c r="H366" s="24"/>
      <c r="I366" s="24"/>
    </row>
    <row r="367" spans="1:9" ht="14.25" customHeight="1" x14ac:dyDescent="0.15">
      <c r="A367" s="71" t="s">
        <v>132</v>
      </c>
      <c r="B367" s="72">
        <v>45020</v>
      </c>
      <c r="C367" s="72" t="s">
        <v>56</v>
      </c>
      <c r="D367" s="72">
        <v>5500</v>
      </c>
      <c r="E367" s="72" t="e">
        <f t="array" aca="1" ref="E367" ca="1">_xludf.SWITCH('PT AND PC'!$C367,"NGN",'PT AND PC'!$D367,"USD",'PT AND PC'!$D367*1000,"GBP",'PT AND PC'!$D367*1200,"KES",'PT AND PC'!$D367*5.4,"GHS",'PT AND PC'!$D367*80,"XAF",'PT AND PC'!$D367*1.6,"ZAR",'PT AND PC'!$D367*15,"TZS",'PT AND PC'!$D367*0.2,"RWF",'PT AND PC'!$D367*0.4)</f>
        <v>#NAME?</v>
      </c>
      <c r="H367" s="24"/>
      <c r="I367" s="24"/>
    </row>
    <row r="368" spans="1:9" ht="14.25" customHeight="1" x14ac:dyDescent="0.15">
      <c r="A368" s="69" t="s">
        <v>132</v>
      </c>
      <c r="B368" s="70">
        <v>45020</v>
      </c>
      <c r="C368" s="70" t="s">
        <v>56</v>
      </c>
      <c r="D368" s="70">
        <v>5500</v>
      </c>
      <c r="E368" s="70" t="e">
        <f t="array" aca="1" ref="E368" ca="1">_xludf.SWITCH('PT AND PC'!$C368,"NGN",'PT AND PC'!$D368,"USD",'PT AND PC'!$D368*1000,"GBP",'PT AND PC'!$D368*1200,"KES",'PT AND PC'!$D368*5.4,"GHS",'PT AND PC'!$D368*80,"XAF",'PT AND PC'!$D368*1.6,"ZAR",'PT AND PC'!$D368*15,"TZS",'PT AND PC'!$D368*0.2,"RWF",'PT AND PC'!$D368*0.4)</f>
        <v>#NAME?</v>
      </c>
      <c r="H368" s="24"/>
      <c r="I368" s="24"/>
    </row>
    <row r="369" spans="1:9" ht="14.25" customHeight="1" x14ac:dyDescent="0.15">
      <c r="A369" s="71" t="s">
        <v>55</v>
      </c>
      <c r="B369" s="72">
        <v>45107</v>
      </c>
      <c r="C369" s="72" t="s">
        <v>30</v>
      </c>
      <c r="D369" s="72">
        <v>59</v>
      </c>
      <c r="E369" s="72" t="e">
        <f t="array" aca="1" ref="E369" ca="1">_xludf.SWITCH('PT AND PC'!$C369,"NGN",'PT AND PC'!$D369,"USD",'PT AND PC'!$D369*1000,"GBP",'PT AND PC'!$D369*1200,"KES",'PT AND PC'!$D369*5.4,"GHS",'PT AND PC'!$D369*80,"XAF",'PT AND PC'!$D369*1.6,"ZAR",'PT AND PC'!$D369*15,"TZS",'PT AND PC'!$D369*0.2,"RWF",'PT AND PC'!$D369*0.4)</f>
        <v>#NAME?</v>
      </c>
      <c r="H369" s="24"/>
      <c r="I369" s="24"/>
    </row>
    <row r="370" spans="1:9" ht="14.25" customHeight="1" x14ac:dyDescent="0.15">
      <c r="A370" s="69" t="s">
        <v>55</v>
      </c>
      <c r="B370" s="70">
        <v>45107</v>
      </c>
      <c r="C370" s="70" t="s">
        <v>30</v>
      </c>
      <c r="D370" s="70">
        <v>59</v>
      </c>
      <c r="E370" s="70" t="e">
        <f t="array" aca="1" ref="E370" ca="1">_xludf.SWITCH('PT AND PC'!$C370,"NGN",'PT AND PC'!$D370,"USD",'PT AND PC'!$D370*1000,"GBP",'PT AND PC'!$D370*1200,"KES",'PT AND PC'!$D370*5.4,"GHS",'PT AND PC'!$D370*80,"XAF",'PT AND PC'!$D370*1.6,"ZAR",'PT AND PC'!$D370*15,"TZS",'PT AND PC'!$D370*0.2,"RWF",'PT AND PC'!$D370*0.4)</f>
        <v>#NAME?</v>
      </c>
      <c r="H370" s="24"/>
      <c r="I370" s="24"/>
    </row>
    <row r="371" spans="1:9" ht="14.25" customHeight="1" x14ac:dyDescent="0.15">
      <c r="A371" s="71" t="s">
        <v>55</v>
      </c>
      <c r="B371" s="72">
        <v>45107</v>
      </c>
      <c r="C371" s="72" t="s">
        <v>30</v>
      </c>
      <c r="D371" s="72">
        <v>59</v>
      </c>
      <c r="E371" s="72" t="e">
        <f t="array" aca="1" ref="E371" ca="1">_xludf.SWITCH('PT AND PC'!$C371,"NGN",'PT AND PC'!$D371,"USD",'PT AND PC'!$D371*1000,"GBP",'PT AND PC'!$D371*1200,"KES",'PT AND PC'!$D371*5.4,"GHS",'PT AND PC'!$D371*80,"XAF",'PT AND PC'!$D371*1.6,"ZAR",'PT AND PC'!$D371*15,"TZS",'PT AND PC'!$D371*0.2,"RWF",'PT AND PC'!$D371*0.4)</f>
        <v>#NAME?</v>
      </c>
      <c r="H371" s="24"/>
      <c r="I371" s="24"/>
    </row>
    <row r="372" spans="1:9" ht="14.25" customHeight="1" x14ac:dyDescent="0.15">
      <c r="A372" s="69" t="s">
        <v>55</v>
      </c>
      <c r="B372" s="70">
        <v>45107</v>
      </c>
      <c r="C372" s="70" t="s">
        <v>30</v>
      </c>
      <c r="D372" s="70">
        <v>59</v>
      </c>
      <c r="E372" s="70" t="e">
        <f t="array" aca="1" ref="E372" ca="1">_xludf.SWITCH('PT AND PC'!$C372,"NGN",'PT AND PC'!$D372,"USD",'PT AND PC'!$D372*1000,"GBP",'PT AND PC'!$D372*1200,"KES",'PT AND PC'!$D372*5.4,"GHS",'PT AND PC'!$D372*80,"XAF",'PT AND PC'!$D372*1.6,"ZAR",'PT AND PC'!$D372*15,"TZS",'PT AND PC'!$D372*0.2,"RWF",'PT AND PC'!$D372*0.4)</f>
        <v>#NAME?</v>
      </c>
      <c r="H372" s="24"/>
      <c r="I372" s="24"/>
    </row>
    <row r="373" spans="1:9" ht="14.25" customHeight="1" x14ac:dyDescent="0.15">
      <c r="A373" s="71" t="s">
        <v>132</v>
      </c>
      <c r="B373" s="72">
        <v>45019</v>
      </c>
      <c r="C373" s="72" t="s">
        <v>60</v>
      </c>
      <c r="D373" s="72">
        <v>14</v>
      </c>
      <c r="E373" s="72" t="e">
        <f t="array" aca="1" ref="E373" ca="1">_xludf.SWITCH('PT AND PC'!$C373,"NGN",'PT AND PC'!$D373,"USD",'PT AND PC'!$D373*1000,"GBP",'PT AND PC'!$D373*1200,"KES",'PT AND PC'!$D373*5.4,"GHS",'PT AND PC'!$D373*80,"XAF",'PT AND PC'!$D373*1.6,"ZAR",'PT AND PC'!$D373*15,"TZS",'PT AND PC'!$D373*0.2,"RWF",'PT AND PC'!$D373*0.4)</f>
        <v>#NAME?</v>
      </c>
      <c r="H373" s="24"/>
      <c r="I373" s="24"/>
    </row>
    <row r="374" spans="1:9" ht="14.25" customHeight="1" x14ac:dyDescent="0.15">
      <c r="A374" s="69" t="s">
        <v>132</v>
      </c>
      <c r="B374" s="70">
        <v>45019</v>
      </c>
      <c r="C374" s="70" t="s">
        <v>56</v>
      </c>
      <c r="D374" s="70">
        <v>5500</v>
      </c>
      <c r="E374" s="70" t="e">
        <f t="array" aca="1" ref="E374" ca="1">_xludf.SWITCH('PT AND PC'!$C374,"NGN",'PT AND PC'!$D374,"USD",'PT AND PC'!$D374*1000,"GBP",'PT AND PC'!$D374*1200,"KES",'PT AND PC'!$D374*5.4,"GHS",'PT AND PC'!$D374*80,"XAF",'PT AND PC'!$D374*1.6,"ZAR",'PT AND PC'!$D374*15,"TZS",'PT AND PC'!$D374*0.2,"RWF",'PT AND PC'!$D374*0.4)</f>
        <v>#NAME?</v>
      </c>
      <c r="H374" s="24"/>
      <c r="I374" s="24"/>
    </row>
    <row r="375" spans="1:9" ht="14.25" customHeight="1" x14ac:dyDescent="0.15">
      <c r="A375" s="71" t="s">
        <v>132</v>
      </c>
      <c r="B375" s="72">
        <v>45019</v>
      </c>
      <c r="C375" s="72" t="s">
        <v>33</v>
      </c>
      <c r="D375" s="72">
        <v>9.48</v>
      </c>
      <c r="E375" s="72" t="e">
        <f t="array" aca="1" ref="E375" ca="1">_xludf.SWITCH('PT AND PC'!$C375,"NGN",'PT AND PC'!$D375,"USD",'PT AND PC'!$D375*1000,"GBP",'PT AND PC'!$D375*1200,"KES",'PT AND PC'!$D375*5.4,"GHS",'PT AND PC'!$D375*80,"XAF",'PT AND PC'!$D375*1.6,"ZAR",'PT AND PC'!$D375*15,"TZS",'PT AND PC'!$D375*0.2,"RWF",'PT AND PC'!$D375*0.4)</f>
        <v>#NAME?</v>
      </c>
      <c r="H375" s="24"/>
      <c r="I375" s="24"/>
    </row>
    <row r="376" spans="1:9" ht="14.25" customHeight="1" x14ac:dyDescent="0.15">
      <c r="A376" s="69" t="s">
        <v>132</v>
      </c>
      <c r="B376" s="70">
        <v>45019</v>
      </c>
      <c r="C376" s="70" t="s">
        <v>60</v>
      </c>
      <c r="D376" s="70">
        <v>14</v>
      </c>
      <c r="E376" s="70" t="e">
        <f t="array" aca="1" ref="E376" ca="1">_xludf.SWITCH('PT AND PC'!$C376,"NGN",'PT AND PC'!$D376,"USD",'PT AND PC'!$D376*1000,"GBP",'PT AND PC'!$D376*1200,"KES",'PT AND PC'!$D376*5.4,"GHS",'PT AND PC'!$D376*80,"XAF",'PT AND PC'!$D376*1.6,"ZAR",'PT AND PC'!$D376*15,"TZS",'PT AND PC'!$D376*0.2,"RWF",'PT AND PC'!$D376*0.4)</f>
        <v>#NAME?</v>
      </c>
      <c r="H376" s="24"/>
      <c r="I376" s="24"/>
    </row>
    <row r="377" spans="1:9" ht="14.25" customHeight="1" x14ac:dyDescent="0.15">
      <c r="A377" s="71" t="s">
        <v>132</v>
      </c>
      <c r="B377" s="72">
        <v>45019</v>
      </c>
      <c r="C377" s="72" t="s">
        <v>56</v>
      </c>
      <c r="D377" s="72">
        <v>5500</v>
      </c>
      <c r="E377" s="72" t="e">
        <f t="array" aca="1" ref="E377" ca="1">_xludf.SWITCH('PT AND PC'!$C377,"NGN",'PT AND PC'!$D377,"USD",'PT AND PC'!$D377*1000,"GBP",'PT AND PC'!$D377*1200,"KES",'PT AND PC'!$D377*5.4,"GHS",'PT AND PC'!$D377*80,"XAF",'PT AND PC'!$D377*1.6,"ZAR",'PT AND PC'!$D377*15,"TZS",'PT AND PC'!$D377*0.2,"RWF",'PT AND PC'!$D377*0.4)</f>
        <v>#NAME?</v>
      </c>
      <c r="H377" s="24"/>
      <c r="I377" s="24"/>
    </row>
    <row r="378" spans="1:9" ht="14.25" customHeight="1" x14ac:dyDescent="0.15">
      <c r="A378" s="69" t="s">
        <v>132</v>
      </c>
      <c r="B378" s="70">
        <v>45019</v>
      </c>
      <c r="C378" s="70" t="s">
        <v>56</v>
      </c>
      <c r="D378" s="70">
        <v>5500</v>
      </c>
      <c r="E378" s="70" t="e">
        <f t="array" aca="1" ref="E378" ca="1">_xludf.SWITCH('PT AND PC'!$C378,"NGN",'PT AND PC'!$D378,"USD",'PT AND PC'!$D378*1000,"GBP",'PT AND PC'!$D378*1200,"KES",'PT AND PC'!$D378*5.4,"GHS",'PT AND PC'!$D378*80,"XAF",'PT AND PC'!$D378*1.6,"ZAR",'PT AND PC'!$D378*15,"TZS",'PT AND PC'!$D378*0.2,"RWF",'PT AND PC'!$D378*0.4)</f>
        <v>#NAME?</v>
      </c>
      <c r="H378" s="24"/>
      <c r="I378" s="24"/>
    </row>
    <row r="379" spans="1:9" ht="14.25" customHeight="1" x14ac:dyDescent="0.15">
      <c r="A379" s="71" t="s">
        <v>132</v>
      </c>
      <c r="B379" s="72">
        <v>45019</v>
      </c>
      <c r="C379" s="72" t="s">
        <v>56</v>
      </c>
      <c r="D379" s="72">
        <v>5500</v>
      </c>
      <c r="E379" s="72" t="e">
        <f t="array" aca="1" ref="E379" ca="1">_xludf.SWITCH('PT AND PC'!$C379,"NGN",'PT AND PC'!$D379,"USD",'PT AND PC'!$D379*1000,"GBP",'PT AND PC'!$D379*1200,"KES",'PT AND PC'!$D379*5.4,"GHS",'PT AND PC'!$D379*80,"XAF",'PT AND PC'!$D379*1.6,"ZAR",'PT AND PC'!$D379*15,"TZS",'PT AND PC'!$D379*0.2,"RWF",'PT AND PC'!$D379*0.4)</f>
        <v>#NAME?</v>
      </c>
      <c r="H379" s="24"/>
      <c r="I379" s="24"/>
    </row>
    <row r="380" spans="1:9" ht="14.25" customHeight="1" x14ac:dyDescent="0.15">
      <c r="A380" s="69" t="s">
        <v>132</v>
      </c>
      <c r="B380" s="70">
        <v>45019</v>
      </c>
      <c r="C380" s="70" t="s">
        <v>33</v>
      </c>
      <c r="D380" s="70">
        <v>9.48</v>
      </c>
      <c r="E380" s="70" t="e">
        <f t="array" aca="1" ref="E380" ca="1">_xludf.SWITCH('PT AND PC'!$C380,"NGN",'PT AND PC'!$D380,"USD",'PT AND PC'!$D380*1000,"GBP",'PT AND PC'!$D380*1200,"KES",'PT AND PC'!$D380*5.4,"GHS",'PT AND PC'!$D380*80,"XAF",'PT AND PC'!$D380*1.6,"ZAR",'PT AND PC'!$D380*15,"TZS",'PT AND PC'!$D380*0.2,"RWF",'PT AND PC'!$D380*0.4)</f>
        <v>#NAME?</v>
      </c>
      <c r="H380" s="24"/>
      <c r="I380" s="24"/>
    </row>
    <row r="381" spans="1:9" ht="14.25" customHeight="1" x14ac:dyDescent="0.15">
      <c r="A381" s="71" t="s">
        <v>132</v>
      </c>
      <c r="B381" s="72">
        <v>45019</v>
      </c>
      <c r="C381" s="72" t="s">
        <v>56</v>
      </c>
      <c r="D381" s="72">
        <v>5500</v>
      </c>
      <c r="E381" s="72" t="e">
        <f t="array" aca="1" ref="E381" ca="1">_xludf.SWITCH('PT AND PC'!$C381,"NGN",'PT AND PC'!$D381,"USD",'PT AND PC'!$D381*1000,"GBP",'PT AND PC'!$D381*1200,"KES",'PT AND PC'!$D381*5.4,"GHS",'PT AND PC'!$D381*80,"XAF",'PT AND PC'!$D381*1.6,"ZAR",'PT AND PC'!$D381*15,"TZS",'PT AND PC'!$D381*0.2,"RWF",'PT AND PC'!$D381*0.4)</f>
        <v>#NAME?</v>
      </c>
      <c r="H381" s="24"/>
      <c r="I381" s="24"/>
    </row>
    <row r="382" spans="1:9" ht="14.25" customHeight="1" x14ac:dyDescent="0.15">
      <c r="A382" s="69" t="s">
        <v>132</v>
      </c>
      <c r="B382" s="70">
        <v>45019</v>
      </c>
      <c r="C382" s="70" t="s">
        <v>56</v>
      </c>
      <c r="D382" s="70">
        <v>5500</v>
      </c>
      <c r="E382" s="70" t="e">
        <f t="array" aca="1" ref="E382" ca="1">_xludf.SWITCH('PT AND PC'!$C382,"NGN",'PT AND PC'!$D382,"USD",'PT AND PC'!$D382*1000,"GBP",'PT AND PC'!$D382*1200,"KES",'PT AND PC'!$D382*5.4,"GHS",'PT AND PC'!$D382*80,"XAF",'PT AND PC'!$D382*1.6,"ZAR",'PT AND PC'!$D382*15,"TZS",'PT AND PC'!$D382*0.2,"RWF",'PT AND PC'!$D382*0.4)</f>
        <v>#NAME?</v>
      </c>
      <c r="H382" s="24"/>
      <c r="I382" s="24"/>
    </row>
    <row r="383" spans="1:9" ht="14.25" customHeight="1" x14ac:dyDescent="0.15">
      <c r="A383" s="71" t="s">
        <v>132</v>
      </c>
      <c r="B383" s="72">
        <v>45019</v>
      </c>
      <c r="C383" s="72" t="s">
        <v>56</v>
      </c>
      <c r="D383" s="72">
        <v>5500</v>
      </c>
      <c r="E383" s="72" t="e">
        <f t="array" aca="1" ref="E383" ca="1">_xludf.SWITCH('PT AND PC'!$C383,"NGN",'PT AND PC'!$D383,"USD",'PT AND PC'!$D383*1000,"GBP",'PT AND PC'!$D383*1200,"KES",'PT AND PC'!$D383*5.4,"GHS",'PT AND PC'!$D383*80,"XAF",'PT AND PC'!$D383*1.6,"ZAR",'PT AND PC'!$D383*15,"TZS",'PT AND PC'!$D383*0.2,"RWF",'PT AND PC'!$D383*0.4)</f>
        <v>#NAME?</v>
      </c>
      <c r="H383" s="24"/>
      <c r="I383" s="24"/>
    </row>
    <row r="384" spans="1:9" ht="14.25" customHeight="1" x14ac:dyDescent="0.15">
      <c r="A384" s="69" t="s">
        <v>132</v>
      </c>
      <c r="B384" s="70">
        <v>45019</v>
      </c>
      <c r="C384" s="70" t="s">
        <v>56</v>
      </c>
      <c r="D384" s="70">
        <v>5500</v>
      </c>
      <c r="E384" s="70" t="e">
        <f t="array" aca="1" ref="E384" ca="1">_xludf.SWITCH('PT AND PC'!$C384,"NGN",'PT AND PC'!$D384,"USD",'PT AND PC'!$D384*1000,"GBP",'PT AND PC'!$D384*1200,"KES",'PT AND PC'!$D384*5.4,"GHS",'PT AND PC'!$D384*80,"XAF",'PT AND PC'!$D384*1.6,"ZAR",'PT AND PC'!$D384*15,"TZS",'PT AND PC'!$D384*0.2,"RWF",'PT AND PC'!$D384*0.4)</f>
        <v>#NAME?</v>
      </c>
      <c r="H384" s="24"/>
      <c r="I384" s="24"/>
    </row>
    <row r="385" spans="1:9" ht="14.25" customHeight="1" x14ac:dyDescent="0.15">
      <c r="A385" s="71" t="s">
        <v>132</v>
      </c>
      <c r="B385" s="72">
        <v>45019</v>
      </c>
      <c r="C385" s="72" t="s">
        <v>60</v>
      </c>
      <c r="D385" s="72">
        <v>14</v>
      </c>
      <c r="E385" s="72" t="e">
        <f t="array" aca="1" ref="E385" ca="1">_xludf.SWITCH('PT AND PC'!$C385,"NGN",'PT AND PC'!$D385,"USD",'PT AND PC'!$D385*1000,"GBP",'PT AND PC'!$D385*1200,"KES",'PT AND PC'!$D385*5.4,"GHS",'PT AND PC'!$D385*80,"XAF",'PT AND PC'!$D385*1.6,"ZAR",'PT AND PC'!$D385*15,"TZS",'PT AND PC'!$D385*0.2,"RWF",'PT AND PC'!$D385*0.4)</f>
        <v>#NAME?</v>
      </c>
      <c r="H385" s="24"/>
      <c r="I385" s="24"/>
    </row>
    <row r="386" spans="1:9" ht="14.25" customHeight="1" x14ac:dyDescent="0.15">
      <c r="A386" s="69" t="s">
        <v>132</v>
      </c>
      <c r="B386" s="70">
        <v>45019</v>
      </c>
      <c r="C386" s="70" t="s">
        <v>33</v>
      </c>
      <c r="D386" s="70">
        <v>9.48</v>
      </c>
      <c r="E386" s="70" t="e">
        <f t="array" aca="1" ref="E386" ca="1">_xludf.SWITCH('PT AND PC'!$C386,"NGN",'PT AND PC'!$D386,"USD",'PT AND PC'!$D386*1000,"GBP",'PT AND PC'!$D386*1200,"KES",'PT AND PC'!$D386*5.4,"GHS",'PT AND PC'!$D386*80,"XAF",'PT AND PC'!$D386*1.6,"ZAR",'PT AND PC'!$D386*15,"TZS",'PT AND PC'!$D386*0.2,"RWF",'PT AND PC'!$D386*0.4)</f>
        <v>#NAME?</v>
      </c>
      <c r="H386" s="24"/>
      <c r="I386" s="24"/>
    </row>
    <row r="387" spans="1:9" ht="14.25" customHeight="1" x14ac:dyDescent="0.15">
      <c r="A387" s="71" t="s">
        <v>132</v>
      </c>
      <c r="B387" s="72">
        <v>45019</v>
      </c>
      <c r="C387" s="72" t="s">
        <v>56</v>
      </c>
      <c r="D387" s="72">
        <v>5500</v>
      </c>
      <c r="E387" s="72" t="e">
        <f t="array" aca="1" ref="E387" ca="1">_xludf.SWITCH('PT AND PC'!$C387,"NGN",'PT AND PC'!$D387,"USD",'PT AND PC'!$D387*1000,"GBP",'PT AND PC'!$D387*1200,"KES",'PT AND PC'!$D387*5.4,"GHS",'PT AND PC'!$D387*80,"XAF",'PT AND PC'!$D387*1.6,"ZAR",'PT AND PC'!$D387*15,"TZS",'PT AND PC'!$D387*0.2,"RWF",'PT AND PC'!$D387*0.4)</f>
        <v>#NAME?</v>
      </c>
      <c r="H387" s="24"/>
      <c r="I387" s="24"/>
    </row>
    <row r="388" spans="1:9" ht="14.25" customHeight="1" x14ac:dyDescent="0.15">
      <c r="A388" s="69" t="s">
        <v>132</v>
      </c>
      <c r="B388" s="70">
        <v>45019</v>
      </c>
      <c r="C388" s="70" t="s">
        <v>56</v>
      </c>
      <c r="D388" s="70">
        <v>5500</v>
      </c>
      <c r="E388" s="70" t="e">
        <f t="array" aca="1" ref="E388" ca="1">_xludf.SWITCH('PT AND PC'!$C388,"NGN",'PT AND PC'!$D388,"USD",'PT AND PC'!$D388*1000,"GBP",'PT AND PC'!$D388*1200,"KES",'PT AND PC'!$D388*5.4,"GHS",'PT AND PC'!$D388*80,"XAF",'PT AND PC'!$D388*1.6,"ZAR",'PT AND PC'!$D388*15,"TZS",'PT AND PC'!$D388*0.2,"RWF",'PT AND PC'!$D388*0.4)</f>
        <v>#NAME?</v>
      </c>
      <c r="H388" s="24"/>
      <c r="I388" s="24"/>
    </row>
    <row r="389" spans="1:9" ht="14.25" customHeight="1" x14ac:dyDescent="0.15">
      <c r="A389" s="71" t="s">
        <v>132</v>
      </c>
      <c r="B389" s="72">
        <v>45019</v>
      </c>
      <c r="C389" s="72" t="s">
        <v>56</v>
      </c>
      <c r="D389" s="72">
        <v>5500</v>
      </c>
      <c r="E389" s="72" t="e">
        <f t="array" aca="1" ref="E389" ca="1">_xludf.SWITCH('PT AND PC'!$C389,"NGN",'PT AND PC'!$D389,"USD",'PT AND PC'!$D389*1000,"GBP",'PT AND PC'!$D389*1200,"KES",'PT AND PC'!$D389*5.4,"GHS",'PT AND PC'!$D389*80,"XAF",'PT AND PC'!$D389*1.6,"ZAR",'PT AND PC'!$D389*15,"TZS",'PT AND PC'!$D389*0.2,"RWF",'PT AND PC'!$D389*0.4)</f>
        <v>#NAME?</v>
      </c>
      <c r="H389" s="24"/>
      <c r="I389" s="24"/>
    </row>
    <row r="390" spans="1:9" ht="14.25" customHeight="1" x14ac:dyDescent="0.15">
      <c r="A390" s="69" t="s">
        <v>132</v>
      </c>
      <c r="B390" s="70">
        <v>45019</v>
      </c>
      <c r="C390" s="70" t="s">
        <v>56</v>
      </c>
      <c r="D390" s="70">
        <v>5500</v>
      </c>
      <c r="E390" s="70" t="e">
        <f t="array" aca="1" ref="E390" ca="1">_xludf.SWITCH('PT AND PC'!$C390,"NGN",'PT AND PC'!$D390,"USD",'PT AND PC'!$D390*1000,"GBP",'PT AND PC'!$D390*1200,"KES",'PT AND PC'!$D390*5.4,"GHS",'PT AND PC'!$D390*80,"XAF",'PT AND PC'!$D390*1.6,"ZAR",'PT AND PC'!$D390*15,"TZS",'PT AND PC'!$D390*0.2,"RWF",'PT AND PC'!$D390*0.4)</f>
        <v>#NAME?</v>
      </c>
      <c r="H390" s="24"/>
      <c r="I390" s="24"/>
    </row>
    <row r="391" spans="1:9" ht="14.25" customHeight="1" x14ac:dyDescent="0.15">
      <c r="A391" s="71" t="s">
        <v>132</v>
      </c>
      <c r="B391" s="72">
        <v>45019</v>
      </c>
      <c r="C391" s="72" t="s">
        <v>60</v>
      </c>
      <c r="D391" s="72">
        <v>14</v>
      </c>
      <c r="E391" s="72" t="e">
        <f t="array" aca="1" ref="E391" ca="1">_xludf.SWITCH('PT AND PC'!$C391,"NGN",'PT AND PC'!$D391,"USD",'PT AND PC'!$D391*1000,"GBP",'PT AND PC'!$D391*1200,"KES",'PT AND PC'!$D391*5.4,"GHS",'PT AND PC'!$D391*80,"XAF",'PT AND PC'!$D391*1.6,"ZAR",'PT AND PC'!$D391*15,"TZS",'PT AND PC'!$D391*0.2,"RWF",'PT AND PC'!$D391*0.4)</f>
        <v>#NAME?</v>
      </c>
      <c r="H391" s="24"/>
      <c r="I391" s="24"/>
    </row>
    <row r="392" spans="1:9" ht="14.25" customHeight="1" x14ac:dyDescent="0.15">
      <c r="A392" s="69" t="s">
        <v>132</v>
      </c>
      <c r="B392" s="70">
        <v>45020</v>
      </c>
      <c r="C392" s="70" t="s">
        <v>58</v>
      </c>
      <c r="D392" s="70">
        <v>1648</v>
      </c>
      <c r="E392" s="70" t="e">
        <f t="array" aca="1" ref="E392" ca="1">_xludf.SWITCH('PT AND PC'!$C392,"NGN",'PT AND PC'!$D392,"USD",'PT AND PC'!$D392*1000,"GBP",'PT AND PC'!$D392*1200,"KES",'PT AND PC'!$D392*5.4,"GHS",'PT AND PC'!$D392*80,"XAF",'PT AND PC'!$D392*1.6,"ZAR",'PT AND PC'!$D392*15,"TZS",'PT AND PC'!$D392*0.2,"RWF",'PT AND PC'!$D392*0.4)</f>
        <v>#NAME?</v>
      </c>
      <c r="H392" s="24"/>
      <c r="I392" s="24"/>
    </row>
    <row r="393" spans="1:9" ht="14.25" customHeight="1" x14ac:dyDescent="0.15">
      <c r="A393" s="71" t="s">
        <v>132</v>
      </c>
      <c r="B393" s="72">
        <v>45019</v>
      </c>
      <c r="C393" s="72" t="s">
        <v>33</v>
      </c>
      <c r="D393" s="72">
        <v>9.48</v>
      </c>
      <c r="E393" s="72" t="e">
        <f t="array" aca="1" ref="E393" ca="1">_xludf.SWITCH('PT AND PC'!$C393,"NGN",'PT AND PC'!$D393,"USD",'PT AND PC'!$D393*1000,"GBP",'PT AND PC'!$D393*1200,"KES",'PT AND PC'!$D393*5.4,"GHS",'PT AND PC'!$D393*80,"XAF",'PT AND PC'!$D393*1.6,"ZAR",'PT AND PC'!$D393*15,"TZS",'PT AND PC'!$D393*0.2,"RWF",'PT AND PC'!$D393*0.4)</f>
        <v>#NAME?</v>
      </c>
      <c r="H393" s="24"/>
      <c r="I393" s="24"/>
    </row>
    <row r="394" spans="1:9" ht="14.25" customHeight="1" x14ac:dyDescent="0.15">
      <c r="A394" s="69" t="s">
        <v>132</v>
      </c>
      <c r="B394" s="70">
        <v>45019</v>
      </c>
      <c r="C394" s="70" t="s">
        <v>56</v>
      </c>
      <c r="D394" s="70">
        <v>5500</v>
      </c>
      <c r="E394" s="70" t="e">
        <f t="array" aca="1" ref="E394" ca="1">_xludf.SWITCH('PT AND PC'!$C394,"NGN",'PT AND PC'!$D394,"USD",'PT AND PC'!$D394*1000,"GBP",'PT AND PC'!$D394*1200,"KES",'PT AND PC'!$D394*5.4,"GHS",'PT AND PC'!$D394*80,"XAF",'PT AND PC'!$D394*1.6,"ZAR",'PT AND PC'!$D394*15,"TZS",'PT AND PC'!$D394*0.2,"RWF",'PT AND PC'!$D394*0.4)</f>
        <v>#NAME?</v>
      </c>
      <c r="H394" s="24"/>
      <c r="I394" s="24"/>
    </row>
    <row r="395" spans="1:9" ht="14.25" customHeight="1" x14ac:dyDescent="0.15">
      <c r="A395" s="71" t="s">
        <v>132</v>
      </c>
      <c r="B395" s="72">
        <v>45019</v>
      </c>
      <c r="C395" s="72" t="s">
        <v>56</v>
      </c>
      <c r="D395" s="72">
        <v>5500</v>
      </c>
      <c r="E395" s="72" t="e">
        <f t="array" aca="1" ref="E395" ca="1">_xludf.SWITCH('PT AND PC'!$C395,"NGN",'PT AND PC'!$D395,"USD",'PT AND PC'!$D395*1000,"GBP",'PT AND PC'!$D395*1200,"KES",'PT AND PC'!$D395*5.4,"GHS",'PT AND PC'!$D395*80,"XAF",'PT AND PC'!$D395*1.6,"ZAR",'PT AND PC'!$D395*15,"TZS",'PT AND PC'!$D395*0.2,"RWF",'PT AND PC'!$D395*0.4)</f>
        <v>#NAME?</v>
      </c>
      <c r="H395" s="24"/>
      <c r="I395" s="24"/>
    </row>
    <row r="396" spans="1:9" ht="14.25" customHeight="1" x14ac:dyDescent="0.15">
      <c r="A396" s="69" t="s">
        <v>132</v>
      </c>
      <c r="B396" s="70">
        <v>45019</v>
      </c>
      <c r="C396" s="70" t="s">
        <v>56</v>
      </c>
      <c r="D396" s="70">
        <v>5500</v>
      </c>
      <c r="E396" s="70" t="e">
        <f t="array" aca="1" ref="E396" ca="1">_xludf.SWITCH('PT AND PC'!$C396,"NGN",'PT AND PC'!$D396,"USD",'PT AND PC'!$D396*1000,"GBP",'PT AND PC'!$D396*1200,"KES",'PT AND PC'!$D396*5.4,"GHS",'PT AND PC'!$D396*80,"XAF",'PT AND PC'!$D396*1.6,"ZAR",'PT AND PC'!$D396*15,"TZS",'PT AND PC'!$D396*0.2,"RWF",'PT AND PC'!$D396*0.4)</f>
        <v>#NAME?</v>
      </c>
      <c r="H396" s="24"/>
      <c r="I396" s="24"/>
    </row>
    <row r="397" spans="1:9" ht="14.25" customHeight="1" x14ac:dyDescent="0.15">
      <c r="A397" s="71" t="s">
        <v>132</v>
      </c>
      <c r="B397" s="72">
        <v>45019</v>
      </c>
      <c r="C397" s="72" t="s">
        <v>56</v>
      </c>
      <c r="D397" s="72">
        <v>5500</v>
      </c>
      <c r="E397" s="72" t="e">
        <f t="array" aca="1" ref="E397" ca="1">_xludf.SWITCH('PT AND PC'!$C397,"NGN",'PT AND PC'!$D397,"USD",'PT AND PC'!$D397*1000,"GBP",'PT AND PC'!$D397*1200,"KES",'PT AND PC'!$D397*5.4,"GHS",'PT AND PC'!$D397*80,"XAF",'PT AND PC'!$D397*1.6,"ZAR",'PT AND PC'!$D397*15,"TZS",'PT AND PC'!$D397*0.2,"RWF",'PT AND PC'!$D397*0.4)</f>
        <v>#NAME?</v>
      </c>
      <c r="H397" s="24"/>
      <c r="I397" s="24"/>
    </row>
    <row r="398" spans="1:9" ht="14.25" customHeight="1" x14ac:dyDescent="0.15">
      <c r="A398" s="69" t="s">
        <v>132</v>
      </c>
      <c r="B398" s="70">
        <v>45019</v>
      </c>
      <c r="C398" s="70" t="s">
        <v>56</v>
      </c>
      <c r="D398" s="70">
        <v>5500</v>
      </c>
      <c r="E398" s="70" t="e">
        <f t="array" aca="1" ref="E398" ca="1">_xludf.SWITCH('PT AND PC'!$C398,"NGN",'PT AND PC'!$D398,"USD",'PT AND PC'!$D398*1000,"GBP",'PT AND PC'!$D398*1200,"KES",'PT AND PC'!$D398*5.4,"GHS",'PT AND PC'!$D398*80,"XAF",'PT AND PC'!$D398*1.6,"ZAR",'PT AND PC'!$D398*15,"TZS",'PT AND PC'!$D398*0.2,"RWF",'PT AND PC'!$D398*0.4)</f>
        <v>#NAME?</v>
      </c>
      <c r="H398" s="24"/>
      <c r="I398" s="24"/>
    </row>
    <row r="399" spans="1:9" ht="14.25" customHeight="1" x14ac:dyDescent="0.15">
      <c r="A399" s="71" t="s">
        <v>132</v>
      </c>
      <c r="B399" s="72">
        <v>45020</v>
      </c>
      <c r="C399" s="72" t="s">
        <v>58</v>
      </c>
      <c r="D399" s="72">
        <v>1648</v>
      </c>
      <c r="E399" s="72" t="e">
        <f t="array" aca="1" ref="E399" ca="1">_xludf.SWITCH('PT AND PC'!$C399,"NGN",'PT AND PC'!$D399,"USD",'PT AND PC'!$D399*1000,"GBP",'PT AND PC'!$D399*1200,"KES",'PT AND PC'!$D399*5.4,"GHS",'PT AND PC'!$D399*80,"XAF",'PT AND PC'!$D399*1.6,"ZAR",'PT AND PC'!$D399*15,"TZS",'PT AND PC'!$D399*0.2,"RWF",'PT AND PC'!$D399*0.4)</f>
        <v>#NAME?</v>
      </c>
      <c r="H399" s="24"/>
      <c r="I399" s="24"/>
    </row>
    <row r="400" spans="1:9" ht="14.25" customHeight="1" x14ac:dyDescent="0.15">
      <c r="A400" s="69" t="s">
        <v>132</v>
      </c>
      <c r="B400" s="70">
        <v>45019</v>
      </c>
      <c r="C400" s="70" t="s">
        <v>60</v>
      </c>
      <c r="D400" s="70">
        <v>14</v>
      </c>
      <c r="E400" s="70" t="e">
        <f t="array" aca="1" ref="E400" ca="1">_xludf.SWITCH('PT AND PC'!$C400,"NGN",'PT AND PC'!$D400,"USD",'PT AND PC'!$D400*1000,"GBP",'PT AND PC'!$D400*1200,"KES",'PT AND PC'!$D400*5.4,"GHS",'PT AND PC'!$D400*80,"XAF",'PT AND PC'!$D400*1.6,"ZAR",'PT AND PC'!$D400*15,"TZS",'PT AND PC'!$D400*0.2,"RWF",'PT AND PC'!$D400*0.4)</f>
        <v>#NAME?</v>
      </c>
      <c r="H400" s="24"/>
      <c r="I400" s="24"/>
    </row>
    <row r="401" spans="1:9" ht="14.25" customHeight="1" x14ac:dyDescent="0.15">
      <c r="A401" s="71" t="s">
        <v>132</v>
      </c>
      <c r="B401" s="72">
        <v>45019</v>
      </c>
      <c r="C401" s="72" t="s">
        <v>30</v>
      </c>
      <c r="D401" s="72">
        <v>153</v>
      </c>
      <c r="E401" s="72" t="e">
        <f t="array" aca="1" ref="E401" ca="1">_xludf.SWITCH('PT AND PC'!$C401,"NGN",'PT AND PC'!$D401,"USD",'PT AND PC'!$D401*1000,"GBP",'PT AND PC'!$D401*1200,"KES",'PT AND PC'!$D401*5.4,"GHS",'PT AND PC'!$D401*80,"XAF",'PT AND PC'!$D401*1.6,"ZAR",'PT AND PC'!$D401*15,"TZS",'PT AND PC'!$D401*0.2,"RWF",'PT AND PC'!$D401*0.4)</f>
        <v>#NAME?</v>
      </c>
      <c r="H401" s="24"/>
      <c r="I401" s="24"/>
    </row>
    <row r="402" spans="1:9" ht="14.25" customHeight="1" x14ac:dyDescent="0.15">
      <c r="A402" s="69" t="s">
        <v>132</v>
      </c>
      <c r="B402" s="70">
        <v>45019</v>
      </c>
      <c r="C402" s="70" t="s">
        <v>60</v>
      </c>
      <c r="D402" s="70">
        <v>14</v>
      </c>
      <c r="E402" s="70" t="e">
        <f t="array" aca="1" ref="E402" ca="1">_xludf.SWITCH('PT AND PC'!$C402,"NGN",'PT AND PC'!$D402,"USD",'PT AND PC'!$D402*1000,"GBP",'PT AND PC'!$D402*1200,"KES",'PT AND PC'!$D402*5.4,"GHS",'PT AND PC'!$D402*80,"XAF",'PT AND PC'!$D402*1.6,"ZAR",'PT AND PC'!$D402*15,"TZS",'PT AND PC'!$D402*0.2,"RWF",'PT AND PC'!$D402*0.4)</f>
        <v>#NAME?</v>
      </c>
      <c r="H402" s="24"/>
      <c r="I402" s="24"/>
    </row>
    <row r="403" spans="1:9" ht="14.25" customHeight="1" x14ac:dyDescent="0.15">
      <c r="A403" s="71" t="s">
        <v>132</v>
      </c>
      <c r="B403" s="72">
        <v>45019</v>
      </c>
      <c r="C403" s="72" t="s">
        <v>33</v>
      </c>
      <c r="D403" s="72">
        <v>9.48</v>
      </c>
      <c r="E403" s="72" t="e">
        <f t="array" aca="1" ref="E403" ca="1">_xludf.SWITCH('PT AND PC'!$C403,"NGN",'PT AND PC'!$D403,"USD",'PT AND PC'!$D403*1000,"GBP",'PT AND PC'!$D403*1200,"KES",'PT AND PC'!$D403*5.4,"GHS",'PT AND PC'!$D403*80,"XAF",'PT AND PC'!$D403*1.6,"ZAR",'PT AND PC'!$D403*15,"TZS",'PT AND PC'!$D403*0.2,"RWF",'PT AND PC'!$D403*0.4)</f>
        <v>#NAME?</v>
      </c>
      <c r="H403" s="24"/>
      <c r="I403" s="24"/>
    </row>
    <row r="404" spans="1:9" ht="14.25" customHeight="1" x14ac:dyDescent="0.15">
      <c r="A404" s="69" t="s">
        <v>132</v>
      </c>
      <c r="B404" s="70">
        <v>45019</v>
      </c>
      <c r="C404" s="70" t="s">
        <v>33</v>
      </c>
      <c r="D404" s="70">
        <v>9.48</v>
      </c>
      <c r="E404" s="70" t="e">
        <f t="array" aca="1" ref="E404" ca="1">_xludf.SWITCH('PT AND PC'!$C404,"NGN",'PT AND PC'!$D404,"USD",'PT AND PC'!$D404*1000,"GBP",'PT AND PC'!$D404*1200,"KES",'PT AND PC'!$D404*5.4,"GHS",'PT AND PC'!$D404*80,"XAF",'PT AND PC'!$D404*1.6,"ZAR",'PT AND PC'!$D404*15,"TZS",'PT AND PC'!$D404*0.2,"RWF",'PT AND PC'!$D404*0.4)</f>
        <v>#NAME?</v>
      </c>
      <c r="H404" s="24"/>
      <c r="I404" s="24"/>
    </row>
    <row r="405" spans="1:9" ht="14.25" customHeight="1" x14ac:dyDescent="0.15">
      <c r="A405" s="71" t="s">
        <v>132</v>
      </c>
      <c r="B405" s="72">
        <v>45019</v>
      </c>
      <c r="C405" s="72" t="s">
        <v>56</v>
      </c>
      <c r="D405" s="72">
        <v>5500</v>
      </c>
      <c r="E405" s="72" t="e">
        <f t="array" aca="1" ref="E405" ca="1">_xludf.SWITCH('PT AND PC'!$C405,"NGN",'PT AND PC'!$D405,"USD",'PT AND PC'!$D405*1000,"GBP",'PT AND PC'!$D405*1200,"KES",'PT AND PC'!$D405*5.4,"GHS",'PT AND PC'!$D405*80,"XAF",'PT AND PC'!$D405*1.6,"ZAR",'PT AND PC'!$D405*15,"TZS",'PT AND PC'!$D405*0.2,"RWF",'PT AND PC'!$D405*0.4)</f>
        <v>#NAME?</v>
      </c>
      <c r="H405" s="24"/>
      <c r="I405" s="24"/>
    </row>
    <row r="406" spans="1:9" ht="14.25" customHeight="1" x14ac:dyDescent="0.15">
      <c r="A406" s="69" t="s">
        <v>132</v>
      </c>
      <c r="B406" s="70">
        <v>45019</v>
      </c>
      <c r="C406" s="70" t="s">
        <v>30</v>
      </c>
      <c r="D406" s="70">
        <v>153</v>
      </c>
      <c r="E406" s="70" t="e">
        <f t="array" aca="1" ref="E406" ca="1">_xludf.SWITCH('PT AND PC'!$C406,"NGN",'PT AND PC'!$D406,"USD",'PT AND PC'!$D406*1000,"GBP",'PT AND PC'!$D406*1200,"KES",'PT AND PC'!$D406*5.4,"GHS",'PT AND PC'!$D406*80,"XAF",'PT AND PC'!$D406*1.6,"ZAR",'PT AND PC'!$D406*15,"TZS",'PT AND PC'!$D406*0.2,"RWF",'PT AND PC'!$D406*0.4)</f>
        <v>#NAME?</v>
      </c>
      <c r="H406" s="24"/>
      <c r="I406" s="24"/>
    </row>
    <row r="407" spans="1:9" ht="14.25" customHeight="1" x14ac:dyDescent="0.15">
      <c r="A407" s="71" t="s">
        <v>132</v>
      </c>
      <c r="B407" s="72">
        <v>45019</v>
      </c>
      <c r="C407" s="72" t="s">
        <v>60</v>
      </c>
      <c r="D407" s="72">
        <v>14</v>
      </c>
      <c r="E407" s="72" t="e">
        <f t="array" aca="1" ref="E407" ca="1">_xludf.SWITCH('PT AND PC'!$C407,"NGN",'PT AND PC'!$D407,"USD",'PT AND PC'!$D407*1000,"GBP",'PT AND PC'!$D407*1200,"KES",'PT AND PC'!$D407*5.4,"GHS",'PT AND PC'!$D407*80,"XAF",'PT AND PC'!$D407*1.6,"ZAR",'PT AND PC'!$D407*15,"TZS",'PT AND PC'!$D407*0.2,"RWF",'PT AND PC'!$D407*0.4)</f>
        <v>#NAME?</v>
      </c>
      <c r="H407" s="24"/>
      <c r="I407" s="24"/>
    </row>
    <row r="408" spans="1:9" ht="14.25" customHeight="1" x14ac:dyDescent="0.15">
      <c r="A408" s="69" t="s">
        <v>132</v>
      </c>
      <c r="B408" s="70">
        <v>45019</v>
      </c>
      <c r="C408" s="70" t="s">
        <v>56</v>
      </c>
      <c r="D408" s="70">
        <v>5500</v>
      </c>
      <c r="E408" s="70" t="e">
        <f t="array" aca="1" ref="E408" ca="1">_xludf.SWITCH('PT AND PC'!$C408,"NGN",'PT AND PC'!$D408,"USD",'PT AND PC'!$D408*1000,"GBP",'PT AND PC'!$D408*1200,"KES",'PT AND PC'!$D408*5.4,"GHS",'PT AND PC'!$D408*80,"XAF",'PT AND PC'!$D408*1.6,"ZAR",'PT AND PC'!$D408*15,"TZS",'PT AND PC'!$D408*0.2,"RWF",'PT AND PC'!$D408*0.4)</f>
        <v>#NAME?</v>
      </c>
      <c r="H408" s="24"/>
      <c r="I408" s="24"/>
    </row>
    <row r="409" spans="1:9" ht="14.25" customHeight="1" x14ac:dyDescent="0.15">
      <c r="A409" s="71" t="s">
        <v>132</v>
      </c>
      <c r="B409" s="72">
        <v>45019</v>
      </c>
      <c r="C409" s="72" t="s">
        <v>56</v>
      </c>
      <c r="D409" s="72">
        <v>5500</v>
      </c>
      <c r="E409" s="72" t="e">
        <f t="array" aca="1" ref="E409" ca="1">_xludf.SWITCH('PT AND PC'!$C409,"NGN",'PT AND PC'!$D409,"USD",'PT AND PC'!$D409*1000,"GBP",'PT AND PC'!$D409*1200,"KES",'PT AND PC'!$D409*5.4,"GHS",'PT AND PC'!$D409*80,"XAF",'PT AND PC'!$D409*1.6,"ZAR",'PT AND PC'!$D409*15,"TZS",'PT AND PC'!$D409*0.2,"RWF",'PT AND PC'!$D409*0.4)</f>
        <v>#NAME?</v>
      </c>
      <c r="H409" s="24"/>
      <c r="I409" s="24"/>
    </row>
    <row r="410" spans="1:9" ht="14.25" customHeight="1" x14ac:dyDescent="0.15">
      <c r="A410" s="69" t="s">
        <v>132</v>
      </c>
      <c r="B410" s="70">
        <v>45019</v>
      </c>
      <c r="C410" s="70" t="s">
        <v>56</v>
      </c>
      <c r="D410" s="70">
        <v>5500</v>
      </c>
      <c r="E410" s="70" t="e">
        <f t="array" aca="1" ref="E410" ca="1">_xludf.SWITCH('PT AND PC'!$C410,"NGN",'PT AND PC'!$D410,"USD",'PT AND PC'!$D410*1000,"GBP",'PT AND PC'!$D410*1200,"KES",'PT AND PC'!$D410*5.4,"GHS",'PT AND PC'!$D410*80,"XAF",'PT AND PC'!$D410*1.6,"ZAR",'PT AND PC'!$D410*15,"TZS",'PT AND PC'!$D410*0.2,"RWF",'PT AND PC'!$D410*0.4)</f>
        <v>#NAME?</v>
      </c>
      <c r="H410" s="24"/>
      <c r="I410" s="24"/>
    </row>
    <row r="411" spans="1:9" ht="14.25" customHeight="1" x14ac:dyDescent="0.15">
      <c r="A411" s="71" t="s">
        <v>132</v>
      </c>
      <c r="B411" s="72">
        <v>45019</v>
      </c>
      <c r="C411" s="72" t="s">
        <v>60</v>
      </c>
      <c r="D411" s="72">
        <v>14</v>
      </c>
      <c r="E411" s="72" t="e">
        <f t="array" aca="1" ref="E411" ca="1">_xludf.SWITCH('PT AND PC'!$C411,"NGN",'PT AND PC'!$D411,"USD",'PT AND PC'!$D411*1000,"GBP",'PT AND PC'!$D411*1200,"KES",'PT AND PC'!$D411*5.4,"GHS",'PT AND PC'!$D411*80,"XAF",'PT AND PC'!$D411*1.6,"ZAR",'PT AND PC'!$D411*15,"TZS",'PT AND PC'!$D411*0.2,"RWF",'PT AND PC'!$D411*0.4)</f>
        <v>#NAME?</v>
      </c>
      <c r="H411" s="24"/>
      <c r="I411" s="24"/>
    </row>
    <row r="412" spans="1:9" ht="14.25" customHeight="1" x14ac:dyDescent="0.15">
      <c r="A412" s="69" t="s">
        <v>132</v>
      </c>
      <c r="B412" s="70">
        <v>45019</v>
      </c>
      <c r="C412" s="70" t="s">
        <v>56</v>
      </c>
      <c r="D412" s="70">
        <v>5500</v>
      </c>
      <c r="E412" s="70" t="e">
        <f t="array" aca="1" ref="E412" ca="1">_xludf.SWITCH('PT AND PC'!$C412,"NGN",'PT AND PC'!$D412,"USD",'PT AND PC'!$D412*1000,"GBP",'PT AND PC'!$D412*1200,"KES",'PT AND PC'!$D412*5.4,"GHS",'PT AND PC'!$D412*80,"XAF",'PT AND PC'!$D412*1.6,"ZAR",'PT AND PC'!$D412*15,"TZS",'PT AND PC'!$D412*0.2,"RWF",'PT AND PC'!$D412*0.4)</f>
        <v>#NAME?</v>
      </c>
      <c r="H412" s="24"/>
      <c r="I412" s="24"/>
    </row>
    <row r="413" spans="1:9" ht="14.25" customHeight="1" x14ac:dyDescent="0.15">
      <c r="A413" s="71" t="s">
        <v>132</v>
      </c>
      <c r="B413" s="72">
        <v>45019</v>
      </c>
      <c r="C413" s="72" t="s">
        <v>56</v>
      </c>
      <c r="D413" s="72">
        <v>5500</v>
      </c>
      <c r="E413" s="72" t="e">
        <f t="array" aca="1" ref="E413" ca="1">_xludf.SWITCH('PT AND PC'!$C413,"NGN",'PT AND PC'!$D413,"USD",'PT AND PC'!$D413*1000,"GBP",'PT AND PC'!$D413*1200,"KES",'PT AND PC'!$D413*5.4,"GHS",'PT AND PC'!$D413*80,"XAF",'PT AND PC'!$D413*1.6,"ZAR",'PT AND PC'!$D413*15,"TZS",'PT AND PC'!$D413*0.2,"RWF",'PT AND PC'!$D413*0.4)</f>
        <v>#NAME?</v>
      </c>
      <c r="H413" s="24"/>
      <c r="I413" s="24"/>
    </row>
    <row r="414" spans="1:9" ht="14.25" customHeight="1" x14ac:dyDescent="0.15">
      <c r="A414" s="69" t="s">
        <v>132</v>
      </c>
      <c r="B414" s="70">
        <v>45019</v>
      </c>
      <c r="C414" s="70" t="s">
        <v>56</v>
      </c>
      <c r="D414" s="70">
        <v>5500</v>
      </c>
      <c r="E414" s="70" t="e">
        <f t="array" aca="1" ref="E414" ca="1">_xludf.SWITCH('PT AND PC'!$C414,"NGN",'PT AND PC'!$D414,"USD",'PT AND PC'!$D414*1000,"GBP",'PT AND PC'!$D414*1200,"KES",'PT AND PC'!$D414*5.4,"GHS",'PT AND PC'!$D414*80,"XAF",'PT AND PC'!$D414*1.6,"ZAR",'PT AND PC'!$D414*15,"TZS",'PT AND PC'!$D414*0.2,"RWF",'PT AND PC'!$D414*0.4)</f>
        <v>#NAME?</v>
      </c>
      <c r="H414" s="24"/>
      <c r="I414" s="24"/>
    </row>
    <row r="415" spans="1:9" ht="14.25" customHeight="1" x14ac:dyDescent="0.15">
      <c r="A415" s="71" t="s">
        <v>132</v>
      </c>
      <c r="B415" s="72">
        <v>45019</v>
      </c>
      <c r="C415" s="72" t="s">
        <v>56</v>
      </c>
      <c r="D415" s="72">
        <v>5500</v>
      </c>
      <c r="E415" s="72" t="e">
        <f t="array" aca="1" ref="E415" ca="1">_xludf.SWITCH('PT AND PC'!$C415,"NGN",'PT AND PC'!$D415,"USD",'PT AND PC'!$D415*1000,"GBP",'PT AND PC'!$D415*1200,"KES",'PT AND PC'!$D415*5.4,"GHS",'PT AND PC'!$D415*80,"XAF",'PT AND PC'!$D415*1.6,"ZAR",'PT AND PC'!$D415*15,"TZS",'PT AND PC'!$D415*0.2,"RWF",'PT AND PC'!$D415*0.4)</f>
        <v>#NAME?</v>
      </c>
      <c r="H415" s="24"/>
      <c r="I415" s="24"/>
    </row>
    <row r="416" spans="1:9" ht="14.25" customHeight="1" x14ac:dyDescent="0.15">
      <c r="A416" s="69" t="s">
        <v>132</v>
      </c>
      <c r="B416" s="70">
        <v>45018</v>
      </c>
      <c r="C416" s="70" t="s">
        <v>56</v>
      </c>
      <c r="D416" s="70">
        <v>5500</v>
      </c>
      <c r="E416" s="70" t="e">
        <f t="array" aca="1" ref="E416" ca="1">_xludf.SWITCH('PT AND PC'!$C416,"NGN",'PT AND PC'!$D416,"USD",'PT AND PC'!$D416*1000,"GBP",'PT AND PC'!$D416*1200,"KES",'PT AND PC'!$D416*5.4,"GHS",'PT AND PC'!$D416*80,"XAF",'PT AND PC'!$D416*1.6,"ZAR",'PT AND PC'!$D416*15,"TZS",'PT AND PC'!$D416*0.2,"RWF",'PT AND PC'!$D416*0.4)</f>
        <v>#NAME?</v>
      </c>
      <c r="H416" s="24"/>
      <c r="I416" s="24"/>
    </row>
    <row r="417" spans="1:9" ht="14.25" customHeight="1" x14ac:dyDescent="0.15">
      <c r="A417" s="71" t="s">
        <v>132</v>
      </c>
      <c r="B417" s="72">
        <v>45018</v>
      </c>
      <c r="C417" s="72" t="s">
        <v>56</v>
      </c>
      <c r="D417" s="72">
        <v>5500</v>
      </c>
      <c r="E417" s="72" t="e">
        <f t="array" aca="1" ref="E417" ca="1">_xludf.SWITCH('PT AND PC'!$C417,"NGN",'PT AND PC'!$D417,"USD",'PT AND PC'!$D417*1000,"GBP",'PT AND PC'!$D417*1200,"KES",'PT AND PC'!$D417*5.4,"GHS",'PT AND PC'!$D417*80,"XAF",'PT AND PC'!$D417*1.6,"ZAR",'PT AND PC'!$D417*15,"TZS",'PT AND PC'!$D417*0.2,"RWF",'PT AND PC'!$D417*0.4)</f>
        <v>#NAME?</v>
      </c>
      <c r="H417" s="24"/>
      <c r="I417" s="24"/>
    </row>
    <row r="418" spans="1:9" ht="14.25" customHeight="1" x14ac:dyDescent="0.15">
      <c r="A418" s="69" t="s">
        <v>132</v>
      </c>
      <c r="B418" s="70">
        <v>45018</v>
      </c>
      <c r="C418" s="70" t="s">
        <v>60</v>
      </c>
      <c r="D418" s="70">
        <v>12</v>
      </c>
      <c r="E418" s="70" t="e">
        <f t="array" aca="1" ref="E418" ca="1">_xludf.SWITCH('PT AND PC'!$C418,"NGN",'PT AND PC'!$D418,"USD",'PT AND PC'!$D418*1000,"GBP",'PT AND PC'!$D418*1200,"KES",'PT AND PC'!$D418*5.4,"GHS",'PT AND PC'!$D418*80,"XAF",'PT AND PC'!$D418*1.6,"ZAR",'PT AND PC'!$D418*15,"TZS",'PT AND PC'!$D418*0.2,"RWF",'PT AND PC'!$D418*0.4)</f>
        <v>#NAME?</v>
      </c>
      <c r="H418" s="24"/>
      <c r="I418" s="24"/>
    </row>
    <row r="419" spans="1:9" ht="14.25" customHeight="1" x14ac:dyDescent="0.15">
      <c r="A419" s="71" t="s">
        <v>132</v>
      </c>
      <c r="B419" s="72">
        <v>45018</v>
      </c>
      <c r="C419" s="72" t="s">
        <v>56</v>
      </c>
      <c r="D419" s="72">
        <v>5500</v>
      </c>
      <c r="E419" s="72" t="e">
        <f t="array" aca="1" ref="E419" ca="1">_xludf.SWITCH('PT AND PC'!$C419,"NGN",'PT AND PC'!$D419,"USD",'PT AND PC'!$D419*1000,"GBP",'PT AND PC'!$D419*1200,"KES",'PT AND PC'!$D419*5.4,"GHS",'PT AND PC'!$D419*80,"XAF",'PT AND PC'!$D419*1.6,"ZAR",'PT AND PC'!$D419*15,"TZS",'PT AND PC'!$D419*0.2,"RWF",'PT AND PC'!$D419*0.4)</f>
        <v>#NAME?</v>
      </c>
      <c r="H419" s="24"/>
      <c r="I419" s="24"/>
    </row>
    <row r="420" spans="1:9" ht="14.25" customHeight="1" x14ac:dyDescent="0.15">
      <c r="A420" s="69" t="s">
        <v>61</v>
      </c>
      <c r="B420" s="70">
        <v>45014</v>
      </c>
      <c r="C420" s="70" t="s">
        <v>56</v>
      </c>
      <c r="D420" s="70">
        <v>6500</v>
      </c>
      <c r="E420" s="70" t="e">
        <f t="array" aca="1" ref="E420" ca="1">_xludf.SWITCH('PT AND PC'!$C420,"NGN",'PT AND PC'!$D420,"USD",'PT AND PC'!$D420*1000,"GBP",'PT AND PC'!$D420*1200,"KES",'PT AND PC'!$D420*5.4,"GHS",'PT AND PC'!$D420*80,"XAF",'PT AND PC'!$D420*1.6,"ZAR",'PT AND PC'!$D420*15,"TZS",'PT AND PC'!$D420*0.2,"RWF",'PT AND PC'!$D420*0.4)</f>
        <v>#NAME?</v>
      </c>
      <c r="H420" s="24"/>
      <c r="I420" s="24"/>
    </row>
    <row r="421" spans="1:9" ht="14.25" customHeight="1" x14ac:dyDescent="0.15">
      <c r="A421" s="71" t="s">
        <v>61</v>
      </c>
      <c r="B421" s="72">
        <v>45014</v>
      </c>
      <c r="C421" s="72" t="s">
        <v>56</v>
      </c>
      <c r="D421" s="72">
        <v>6500</v>
      </c>
      <c r="E421" s="72" t="e">
        <f t="array" aca="1" ref="E421" ca="1">_xludf.SWITCH('PT AND PC'!$C421,"NGN",'PT AND PC'!$D421,"USD",'PT AND PC'!$D421*1000,"GBP",'PT AND PC'!$D421*1200,"KES",'PT AND PC'!$D421*5.4,"GHS",'PT AND PC'!$D421*80,"XAF",'PT AND PC'!$D421*1.6,"ZAR",'PT AND PC'!$D421*15,"TZS",'PT AND PC'!$D421*0.2,"RWF",'PT AND PC'!$D421*0.4)</f>
        <v>#NAME?</v>
      </c>
      <c r="H421" s="24"/>
      <c r="I421" s="24"/>
    </row>
    <row r="422" spans="1:9" ht="14.25" customHeight="1" x14ac:dyDescent="0.15">
      <c r="A422" s="69" t="s">
        <v>61</v>
      </c>
      <c r="B422" s="70">
        <v>45014</v>
      </c>
      <c r="C422" s="70" t="s">
        <v>56</v>
      </c>
      <c r="D422" s="70">
        <v>6500</v>
      </c>
      <c r="E422" s="70" t="e">
        <f t="array" aca="1" ref="E422" ca="1">_xludf.SWITCH('PT AND PC'!$C422,"NGN",'PT AND PC'!$D422,"USD",'PT AND PC'!$D422*1000,"GBP",'PT AND PC'!$D422*1200,"KES",'PT AND PC'!$D422*5.4,"GHS",'PT AND PC'!$D422*80,"XAF",'PT AND PC'!$D422*1.6,"ZAR",'PT AND PC'!$D422*15,"TZS",'PT AND PC'!$D422*0.2,"RWF",'PT AND PC'!$D422*0.4)</f>
        <v>#NAME?</v>
      </c>
      <c r="H422" s="24"/>
      <c r="I422" s="24"/>
    </row>
    <row r="423" spans="1:9" ht="14.25" customHeight="1" x14ac:dyDescent="0.15">
      <c r="A423" s="71" t="s">
        <v>61</v>
      </c>
      <c r="B423" s="72">
        <v>45014</v>
      </c>
      <c r="C423" s="72" t="s">
        <v>56</v>
      </c>
      <c r="D423" s="72">
        <v>6500</v>
      </c>
      <c r="E423" s="72" t="e">
        <f t="array" aca="1" ref="E423" ca="1">_xludf.SWITCH('PT AND PC'!$C423,"NGN",'PT AND PC'!$D423,"USD",'PT AND PC'!$D423*1000,"GBP",'PT AND PC'!$D423*1200,"KES",'PT AND PC'!$D423*5.4,"GHS",'PT AND PC'!$D423*80,"XAF",'PT AND PC'!$D423*1.6,"ZAR",'PT AND PC'!$D423*15,"TZS",'PT AND PC'!$D423*0.2,"RWF",'PT AND PC'!$D423*0.4)</f>
        <v>#NAME?</v>
      </c>
      <c r="H423" s="24"/>
      <c r="I423" s="24"/>
    </row>
    <row r="424" spans="1:9" ht="14.25" customHeight="1" x14ac:dyDescent="0.15">
      <c r="A424" s="69" t="s">
        <v>55</v>
      </c>
      <c r="B424" s="70">
        <v>45089</v>
      </c>
      <c r="C424" s="70" t="s">
        <v>33</v>
      </c>
      <c r="D424" s="70">
        <v>20</v>
      </c>
      <c r="E424" s="70" t="e">
        <f t="array" aca="1" ref="E424" ca="1">_xludf.SWITCH('PT AND PC'!$C424,"NGN",'PT AND PC'!$D424,"USD",'PT AND PC'!$D424*1000,"GBP",'PT AND PC'!$D424*1200,"KES",'PT AND PC'!$D424*5.4,"GHS",'PT AND PC'!$D424*80,"XAF",'PT AND PC'!$D424*1.6,"ZAR",'PT AND PC'!$D424*15,"TZS",'PT AND PC'!$D424*0.2,"RWF",'PT AND PC'!$D424*0.4)</f>
        <v>#NAME?</v>
      </c>
      <c r="H424" s="24"/>
      <c r="I424" s="24"/>
    </row>
    <row r="425" spans="1:9" ht="14.25" customHeight="1" x14ac:dyDescent="0.15">
      <c r="A425" s="71" t="s">
        <v>55</v>
      </c>
      <c r="B425" s="72">
        <v>45089</v>
      </c>
      <c r="C425" s="72" t="s">
        <v>33</v>
      </c>
      <c r="D425" s="72">
        <v>20</v>
      </c>
      <c r="E425" s="72" t="e">
        <f t="array" aca="1" ref="E425" ca="1">_xludf.SWITCH('PT AND PC'!$C425,"NGN",'PT AND PC'!$D425,"USD",'PT AND PC'!$D425*1000,"GBP",'PT AND PC'!$D425*1200,"KES",'PT AND PC'!$D425*5.4,"GHS",'PT AND PC'!$D425*80,"XAF",'PT AND PC'!$D425*1.6,"ZAR",'PT AND PC'!$D425*15,"TZS",'PT AND PC'!$D425*0.2,"RWF",'PT AND PC'!$D425*0.4)</f>
        <v>#NAME?</v>
      </c>
      <c r="H425" s="24"/>
      <c r="I425" s="24"/>
    </row>
    <row r="426" spans="1:9" ht="14.25" customHeight="1" x14ac:dyDescent="0.15">
      <c r="H426" s="24"/>
      <c r="I426" s="24"/>
    </row>
    <row r="427" spans="1:9" ht="14.25" customHeight="1" x14ac:dyDescent="0.15">
      <c r="H427" s="24"/>
      <c r="I427" s="24"/>
    </row>
    <row r="428" spans="1:9" ht="14.25" customHeight="1" x14ac:dyDescent="0.15">
      <c r="H428" s="24"/>
      <c r="I428" s="24"/>
    </row>
    <row r="429" spans="1:9" ht="14.25" customHeight="1" x14ac:dyDescent="0.15">
      <c r="H429" s="24"/>
      <c r="I429" s="24"/>
    </row>
    <row r="430" spans="1:9" ht="14.25" customHeight="1" x14ac:dyDescent="0.15">
      <c r="H430" s="24"/>
      <c r="I430" s="24"/>
    </row>
    <row r="431" spans="1:9" ht="14.25" customHeight="1" x14ac:dyDescent="0.15">
      <c r="H431" s="24"/>
      <c r="I431" s="24"/>
    </row>
    <row r="432" spans="1:9" ht="14.25" customHeight="1" x14ac:dyDescent="0.15">
      <c r="H432" s="24"/>
      <c r="I432" s="24"/>
    </row>
    <row r="433" spans="8:9" ht="14.25" customHeight="1" x14ac:dyDescent="0.15">
      <c r="H433" s="24"/>
      <c r="I433" s="24"/>
    </row>
    <row r="434" spans="8:9" ht="14.25" customHeight="1" x14ac:dyDescent="0.15">
      <c r="H434" s="24"/>
      <c r="I434" s="24"/>
    </row>
    <row r="435" spans="8:9" ht="14.25" customHeight="1" x14ac:dyDescent="0.15">
      <c r="H435" s="24"/>
      <c r="I435" s="24"/>
    </row>
    <row r="436" spans="8:9" ht="14.25" customHeight="1" x14ac:dyDescent="0.15">
      <c r="H436" s="24"/>
      <c r="I436" s="24"/>
    </row>
    <row r="437" spans="8:9" ht="14.25" customHeight="1" x14ac:dyDescent="0.15">
      <c r="H437" s="24"/>
      <c r="I437" s="24"/>
    </row>
    <row r="438" spans="8:9" ht="14.25" customHeight="1" x14ac:dyDescent="0.15">
      <c r="H438" s="24"/>
      <c r="I438" s="24"/>
    </row>
    <row r="439" spans="8:9" ht="14.25" customHeight="1" x14ac:dyDescent="0.15">
      <c r="H439" s="24"/>
      <c r="I439" s="24"/>
    </row>
    <row r="440" spans="8:9" ht="14.25" customHeight="1" x14ac:dyDescent="0.15">
      <c r="H440" s="24"/>
      <c r="I440" s="24"/>
    </row>
    <row r="441" spans="8:9" ht="14.25" customHeight="1" x14ac:dyDescent="0.15">
      <c r="H441" s="24"/>
      <c r="I441" s="24"/>
    </row>
    <row r="442" spans="8:9" ht="14.25" customHeight="1" x14ac:dyDescent="0.15">
      <c r="H442" s="24"/>
      <c r="I442" s="24"/>
    </row>
    <row r="443" spans="8:9" ht="14.25" customHeight="1" x14ac:dyDescent="0.15">
      <c r="H443" s="24"/>
      <c r="I443" s="24"/>
    </row>
    <row r="444" spans="8:9" ht="14.25" customHeight="1" x14ac:dyDescent="0.15">
      <c r="H444" s="24"/>
      <c r="I444" s="24"/>
    </row>
    <row r="445" spans="8:9" ht="14.25" customHeight="1" x14ac:dyDescent="0.15">
      <c r="H445" s="24"/>
      <c r="I445" s="24"/>
    </row>
    <row r="446" spans="8:9" ht="14.25" customHeight="1" x14ac:dyDescent="0.15">
      <c r="H446" s="24"/>
      <c r="I446" s="24"/>
    </row>
    <row r="447" spans="8:9" ht="14.25" customHeight="1" x14ac:dyDescent="0.15">
      <c r="H447" s="24"/>
      <c r="I447" s="24"/>
    </row>
    <row r="448" spans="8:9" ht="14.25" customHeight="1" x14ac:dyDescent="0.15">
      <c r="H448" s="24"/>
      <c r="I448" s="24"/>
    </row>
    <row r="449" spans="8:9" ht="14.25" customHeight="1" x14ac:dyDescent="0.15">
      <c r="H449" s="24"/>
      <c r="I449" s="24"/>
    </row>
    <row r="450" spans="8:9" ht="14.25" customHeight="1" x14ac:dyDescent="0.15">
      <c r="H450" s="24"/>
      <c r="I450" s="24"/>
    </row>
    <row r="451" spans="8:9" ht="14.25" customHeight="1" x14ac:dyDescent="0.15">
      <c r="H451" s="24"/>
      <c r="I451" s="24"/>
    </row>
    <row r="452" spans="8:9" ht="14.25" customHeight="1" x14ac:dyDescent="0.15">
      <c r="H452" s="24"/>
      <c r="I452" s="24"/>
    </row>
    <row r="453" spans="8:9" ht="14.25" customHeight="1" x14ac:dyDescent="0.15">
      <c r="H453" s="24"/>
      <c r="I453" s="24"/>
    </row>
    <row r="454" spans="8:9" ht="14.25" customHeight="1" x14ac:dyDescent="0.15">
      <c r="H454" s="24"/>
      <c r="I454" s="24"/>
    </row>
    <row r="455" spans="8:9" ht="14.25" customHeight="1" x14ac:dyDescent="0.15">
      <c r="H455" s="24"/>
      <c r="I455" s="24"/>
    </row>
    <row r="456" spans="8:9" ht="14.25" customHeight="1" x14ac:dyDescent="0.15">
      <c r="H456" s="24"/>
      <c r="I456" s="24"/>
    </row>
    <row r="457" spans="8:9" ht="14.25" customHeight="1" x14ac:dyDescent="0.15">
      <c r="H457" s="24"/>
      <c r="I457" s="24"/>
    </row>
    <row r="458" spans="8:9" ht="14.25" customHeight="1" x14ac:dyDescent="0.15">
      <c r="H458" s="24"/>
      <c r="I458" s="24"/>
    </row>
    <row r="459" spans="8:9" ht="14.25" customHeight="1" x14ac:dyDescent="0.15">
      <c r="H459" s="24"/>
      <c r="I459" s="24"/>
    </row>
    <row r="460" spans="8:9" ht="14.25" customHeight="1" x14ac:dyDescent="0.15">
      <c r="H460" s="24"/>
      <c r="I460" s="24"/>
    </row>
    <row r="461" spans="8:9" ht="14.25" customHeight="1" x14ac:dyDescent="0.15">
      <c r="H461" s="24"/>
      <c r="I461" s="24"/>
    </row>
    <row r="462" spans="8:9" ht="14.25" customHeight="1" x14ac:dyDescent="0.15">
      <c r="H462" s="24"/>
      <c r="I462" s="24"/>
    </row>
    <row r="463" spans="8:9" ht="14.25" customHeight="1" x14ac:dyDescent="0.15">
      <c r="H463" s="24"/>
      <c r="I463" s="24"/>
    </row>
    <row r="464" spans="8:9" ht="14.25" customHeight="1" x14ac:dyDescent="0.15">
      <c r="H464" s="24"/>
      <c r="I464" s="24"/>
    </row>
    <row r="465" spans="8:9" ht="14.25" customHeight="1" x14ac:dyDescent="0.15">
      <c r="H465" s="24"/>
      <c r="I465" s="24"/>
    </row>
    <row r="466" spans="8:9" ht="14.25" customHeight="1" x14ac:dyDescent="0.15">
      <c r="H466" s="24"/>
      <c r="I466" s="24"/>
    </row>
    <row r="467" spans="8:9" ht="14.25" customHeight="1" x14ac:dyDescent="0.15">
      <c r="H467" s="24"/>
      <c r="I467" s="24"/>
    </row>
    <row r="468" spans="8:9" ht="14.25" customHeight="1" x14ac:dyDescent="0.15">
      <c r="H468" s="24"/>
      <c r="I468" s="24"/>
    </row>
    <row r="469" spans="8:9" ht="14.25" customHeight="1" x14ac:dyDescent="0.15">
      <c r="H469" s="24"/>
      <c r="I469" s="24"/>
    </row>
    <row r="470" spans="8:9" ht="14.25" customHeight="1" x14ac:dyDescent="0.15">
      <c r="H470" s="24"/>
      <c r="I470" s="24"/>
    </row>
    <row r="471" spans="8:9" ht="14.25" customHeight="1" x14ac:dyDescent="0.15">
      <c r="H471" s="24"/>
      <c r="I471" s="24"/>
    </row>
    <row r="472" spans="8:9" ht="14.25" customHeight="1" x14ac:dyDescent="0.15">
      <c r="H472" s="24"/>
      <c r="I472" s="24"/>
    </row>
    <row r="473" spans="8:9" ht="14.25" customHeight="1" x14ac:dyDescent="0.15">
      <c r="H473" s="24"/>
      <c r="I473" s="24"/>
    </row>
    <row r="474" spans="8:9" ht="14.25" customHeight="1" x14ac:dyDescent="0.15">
      <c r="H474" s="24"/>
      <c r="I474" s="24"/>
    </row>
    <row r="475" spans="8:9" ht="14.25" customHeight="1" x14ac:dyDescent="0.15">
      <c r="H475" s="24"/>
      <c r="I475" s="24"/>
    </row>
    <row r="476" spans="8:9" ht="14.25" customHeight="1" x14ac:dyDescent="0.15">
      <c r="H476" s="24"/>
      <c r="I476" s="24"/>
    </row>
    <row r="477" spans="8:9" ht="14.25" customHeight="1" x14ac:dyDescent="0.15">
      <c r="H477" s="24"/>
      <c r="I477" s="24"/>
    </row>
    <row r="478" spans="8:9" ht="14.25" customHeight="1" x14ac:dyDescent="0.15">
      <c r="H478" s="24"/>
      <c r="I478" s="24"/>
    </row>
    <row r="479" spans="8:9" ht="14.25" customHeight="1" x14ac:dyDescent="0.15">
      <c r="H479" s="24"/>
      <c r="I479" s="24"/>
    </row>
    <row r="480" spans="8:9" ht="14.25" customHeight="1" x14ac:dyDescent="0.15">
      <c r="H480" s="24"/>
      <c r="I480" s="24"/>
    </row>
    <row r="481" spans="8:9" ht="14.25" customHeight="1" x14ac:dyDescent="0.15">
      <c r="H481" s="24"/>
      <c r="I481" s="24"/>
    </row>
    <row r="482" spans="8:9" ht="14.25" customHeight="1" x14ac:dyDescent="0.15">
      <c r="H482" s="24"/>
      <c r="I482" s="24"/>
    </row>
    <row r="483" spans="8:9" ht="14.25" customHeight="1" x14ac:dyDescent="0.15">
      <c r="H483" s="24"/>
      <c r="I483" s="24"/>
    </row>
    <row r="484" spans="8:9" ht="14.25" customHeight="1" x14ac:dyDescent="0.15">
      <c r="H484" s="24"/>
      <c r="I484" s="24"/>
    </row>
    <row r="485" spans="8:9" ht="14.25" customHeight="1" x14ac:dyDescent="0.15">
      <c r="H485" s="24"/>
      <c r="I485" s="24"/>
    </row>
    <row r="486" spans="8:9" ht="14.25" customHeight="1" x14ac:dyDescent="0.15">
      <c r="H486" s="24"/>
      <c r="I486" s="24"/>
    </row>
    <row r="487" spans="8:9" ht="14.25" customHeight="1" x14ac:dyDescent="0.15">
      <c r="H487" s="24"/>
      <c r="I487" s="24"/>
    </row>
    <row r="488" spans="8:9" ht="14.25" customHeight="1" x14ac:dyDescent="0.15">
      <c r="H488" s="24"/>
      <c r="I488" s="24"/>
    </row>
    <row r="489" spans="8:9" ht="14.25" customHeight="1" x14ac:dyDescent="0.15">
      <c r="H489" s="24"/>
      <c r="I489" s="24"/>
    </row>
    <row r="490" spans="8:9" ht="14.25" customHeight="1" x14ac:dyDescent="0.15">
      <c r="H490" s="24"/>
      <c r="I490" s="24"/>
    </row>
    <row r="491" spans="8:9" ht="14.25" customHeight="1" x14ac:dyDescent="0.15">
      <c r="H491" s="24"/>
      <c r="I491" s="24"/>
    </row>
    <row r="492" spans="8:9" ht="14.25" customHeight="1" x14ac:dyDescent="0.15">
      <c r="H492" s="24"/>
      <c r="I492" s="24"/>
    </row>
    <row r="493" spans="8:9" ht="14.25" customHeight="1" x14ac:dyDescent="0.15">
      <c r="H493" s="24"/>
      <c r="I493" s="24"/>
    </row>
    <row r="494" spans="8:9" ht="14.25" customHeight="1" x14ac:dyDescent="0.15">
      <c r="H494" s="24"/>
      <c r="I494" s="24"/>
    </row>
    <row r="495" spans="8:9" ht="14.25" customHeight="1" x14ac:dyDescent="0.15">
      <c r="H495" s="24"/>
      <c r="I495" s="24"/>
    </row>
    <row r="496" spans="8:9" ht="14.25" customHeight="1" x14ac:dyDescent="0.15">
      <c r="H496" s="24"/>
      <c r="I496" s="24"/>
    </row>
    <row r="497" spans="8:9" ht="14.25" customHeight="1" x14ac:dyDescent="0.15">
      <c r="H497" s="24"/>
      <c r="I497" s="24"/>
    </row>
    <row r="498" spans="8:9" ht="14.25" customHeight="1" x14ac:dyDescent="0.15">
      <c r="H498" s="24"/>
      <c r="I498" s="24"/>
    </row>
    <row r="499" spans="8:9" ht="14.25" customHeight="1" x14ac:dyDescent="0.15">
      <c r="H499" s="24"/>
      <c r="I499" s="24"/>
    </row>
    <row r="500" spans="8:9" ht="14.25" customHeight="1" x14ac:dyDescent="0.15">
      <c r="H500" s="24"/>
      <c r="I500" s="24"/>
    </row>
    <row r="501" spans="8:9" ht="14.25" customHeight="1" x14ac:dyDescent="0.15">
      <c r="H501" s="24"/>
      <c r="I501" s="24"/>
    </row>
    <row r="502" spans="8:9" ht="14.25" customHeight="1" x14ac:dyDescent="0.15">
      <c r="H502" s="24"/>
      <c r="I502" s="24"/>
    </row>
    <row r="503" spans="8:9" ht="14.25" customHeight="1" x14ac:dyDescent="0.15">
      <c r="H503" s="24"/>
      <c r="I503" s="24"/>
    </row>
    <row r="504" spans="8:9" ht="14.25" customHeight="1" x14ac:dyDescent="0.15">
      <c r="H504" s="24"/>
      <c r="I504" s="24"/>
    </row>
    <row r="505" spans="8:9" ht="14.25" customHeight="1" x14ac:dyDescent="0.15">
      <c r="H505" s="24"/>
      <c r="I505" s="24"/>
    </row>
    <row r="506" spans="8:9" ht="14.25" customHeight="1" x14ac:dyDescent="0.15">
      <c r="H506" s="24"/>
      <c r="I506" s="24"/>
    </row>
    <row r="507" spans="8:9" ht="14.25" customHeight="1" x14ac:dyDescent="0.15">
      <c r="H507" s="24"/>
      <c r="I507" s="24"/>
    </row>
    <row r="508" spans="8:9" ht="14.25" customHeight="1" x14ac:dyDescent="0.15">
      <c r="H508" s="24"/>
      <c r="I508" s="24"/>
    </row>
    <row r="509" spans="8:9" ht="14.25" customHeight="1" x14ac:dyDescent="0.15">
      <c r="H509" s="24"/>
      <c r="I509" s="24"/>
    </row>
    <row r="510" spans="8:9" ht="14.25" customHeight="1" x14ac:dyDescent="0.15">
      <c r="H510" s="24"/>
      <c r="I510" s="24"/>
    </row>
    <row r="511" spans="8:9" ht="14.25" customHeight="1" x14ac:dyDescent="0.15">
      <c r="H511" s="24"/>
      <c r="I511" s="24"/>
    </row>
    <row r="512" spans="8:9" ht="14.25" customHeight="1" x14ac:dyDescent="0.15">
      <c r="H512" s="24"/>
      <c r="I512" s="24"/>
    </row>
    <row r="513" spans="8:9" ht="14.25" customHeight="1" x14ac:dyDescent="0.15">
      <c r="H513" s="24"/>
      <c r="I513" s="24"/>
    </row>
    <row r="514" spans="8:9" ht="14.25" customHeight="1" x14ac:dyDescent="0.15">
      <c r="H514" s="24"/>
      <c r="I514" s="24"/>
    </row>
    <row r="515" spans="8:9" ht="14.25" customHeight="1" x14ac:dyDescent="0.15">
      <c r="H515" s="24"/>
      <c r="I515" s="24"/>
    </row>
    <row r="516" spans="8:9" ht="14.25" customHeight="1" x14ac:dyDescent="0.15">
      <c r="H516" s="24"/>
      <c r="I516" s="24"/>
    </row>
    <row r="517" spans="8:9" ht="14.25" customHeight="1" x14ac:dyDescent="0.15">
      <c r="H517" s="24"/>
      <c r="I517" s="24"/>
    </row>
    <row r="518" spans="8:9" ht="14.25" customHeight="1" x14ac:dyDescent="0.15">
      <c r="H518" s="24"/>
      <c r="I518" s="24"/>
    </row>
    <row r="519" spans="8:9" ht="14.25" customHeight="1" x14ac:dyDescent="0.15">
      <c r="H519" s="24"/>
      <c r="I519" s="24"/>
    </row>
    <row r="520" spans="8:9" ht="14.25" customHeight="1" x14ac:dyDescent="0.15">
      <c r="H520" s="24"/>
      <c r="I520" s="24"/>
    </row>
    <row r="521" spans="8:9" ht="14.25" customHeight="1" x14ac:dyDescent="0.15">
      <c r="H521" s="24"/>
      <c r="I521" s="24"/>
    </row>
    <row r="522" spans="8:9" ht="14.25" customHeight="1" x14ac:dyDescent="0.15">
      <c r="H522" s="24"/>
      <c r="I522" s="24"/>
    </row>
    <row r="523" spans="8:9" ht="14.25" customHeight="1" x14ac:dyDescent="0.15">
      <c r="H523" s="24"/>
      <c r="I523" s="24"/>
    </row>
    <row r="524" spans="8:9" ht="14.25" customHeight="1" x14ac:dyDescent="0.15">
      <c r="H524" s="24"/>
      <c r="I524" s="24"/>
    </row>
    <row r="525" spans="8:9" ht="14.25" customHeight="1" x14ac:dyDescent="0.15">
      <c r="H525" s="24"/>
      <c r="I525" s="24"/>
    </row>
    <row r="526" spans="8:9" ht="14.25" customHeight="1" x14ac:dyDescent="0.15">
      <c r="H526" s="24"/>
      <c r="I526" s="24"/>
    </row>
    <row r="527" spans="8:9" ht="14.25" customHeight="1" x14ac:dyDescent="0.15">
      <c r="H527" s="24"/>
      <c r="I527" s="24"/>
    </row>
    <row r="528" spans="8:9" ht="14.25" customHeight="1" x14ac:dyDescent="0.15">
      <c r="H528" s="24"/>
      <c r="I528" s="24"/>
    </row>
    <row r="529" spans="8:9" ht="14.25" customHeight="1" x14ac:dyDescent="0.15">
      <c r="H529" s="24"/>
      <c r="I529" s="24"/>
    </row>
    <row r="530" spans="8:9" ht="14.25" customHeight="1" x14ac:dyDescent="0.15">
      <c r="H530" s="24"/>
      <c r="I530" s="24"/>
    </row>
    <row r="531" spans="8:9" ht="14.25" customHeight="1" x14ac:dyDescent="0.15">
      <c r="H531" s="24"/>
      <c r="I531" s="24"/>
    </row>
    <row r="532" spans="8:9" ht="14.25" customHeight="1" x14ac:dyDescent="0.15">
      <c r="H532" s="24"/>
      <c r="I532" s="24"/>
    </row>
    <row r="533" spans="8:9" ht="14.25" customHeight="1" x14ac:dyDescent="0.15">
      <c r="H533" s="24"/>
      <c r="I533" s="24"/>
    </row>
    <row r="534" spans="8:9" ht="14.25" customHeight="1" x14ac:dyDescent="0.15">
      <c r="H534" s="24"/>
      <c r="I534" s="24"/>
    </row>
    <row r="535" spans="8:9" ht="14.25" customHeight="1" x14ac:dyDescent="0.15">
      <c r="H535" s="24"/>
      <c r="I535" s="24"/>
    </row>
    <row r="536" spans="8:9" ht="14.25" customHeight="1" x14ac:dyDescent="0.15">
      <c r="H536" s="24"/>
      <c r="I536" s="24"/>
    </row>
    <row r="537" spans="8:9" ht="14.25" customHeight="1" x14ac:dyDescent="0.15">
      <c r="H537" s="24"/>
      <c r="I537" s="24"/>
    </row>
    <row r="538" spans="8:9" ht="14.25" customHeight="1" x14ac:dyDescent="0.15">
      <c r="H538" s="24"/>
      <c r="I538" s="24"/>
    </row>
    <row r="539" spans="8:9" ht="14.25" customHeight="1" x14ac:dyDescent="0.15">
      <c r="H539" s="24"/>
      <c r="I539" s="24"/>
    </row>
    <row r="540" spans="8:9" ht="14.25" customHeight="1" x14ac:dyDescent="0.15">
      <c r="H540" s="24"/>
      <c r="I540" s="24"/>
    </row>
    <row r="541" spans="8:9" ht="14.25" customHeight="1" x14ac:dyDescent="0.15">
      <c r="H541" s="24"/>
      <c r="I541" s="24"/>
    </row>
    <row r="542" spans="8:9" ht="14.25" customHeight="1" x14ac:dyDescent="0.15">
      <c r="H542" s="24"/>
      <c r="I542" s="24"/>
    </row>
    <row r="543" spans="8:9" ht="14.25" customHeight="1" x14ac:dyDescent="0.15">
      <c r="H543" s="24"/>
      <c r="I543" s="24"/>
    </row>
    <row r="544" spans="8:9" ht="14.25" customHeight="1" x14ac:dyDescent="0.15">
      <c r="H544" s="24"/>
      <c r="I544" s="24"/>
    </row>
    <row r="545" spans="8:9" ht="14.25" customHeight="1" x14ac:dyDescent="0.15">
      <c r="H545" s="24"/>
      <c r="I545" s="24"/>
    </row>
    <row r="546" spans="8:9" ht="14.25" customHeight="1" x14ac:dyDescent="0.15">
      <c r="H546" s="24"/>
      <c r="I546" s="24"/>
    </row>
    <row r="547" spans="8:9" ht="14.25" customHeight="1" x14ac:dyDescent="0.15">
      <c r="H547" s="24"/>
      <c r="I547" s="24"/>
    </row>
    <row r="548" spans="8:9" ht="14.25" customHeight="1" x14ac:dyDescent="0.15">
      <c r="H548" s="24"/>
      <c r="I548" s="24"/>
    </row>
    <row r="549" spans="8:9" ht="14.25" customHeight="1" x14ac:dyDescent="0.15">
      <c r="H549" s="24"/>
      <c r="I549" s="24"/>
    </row>
    <row r="550" spans="8:9" ht="14.25" customHeight="1" x14ac:dyDescent="0.15">
      <c r="H550" s="24"/>
      <c r="I550" s="24"/>
    </row>
    <row r="551" spans="8:9" ht="14.25" customHeight="1" x14ac:dyDescent="0.15">
      <c r="H551" s="24"/>
      <c r="I551" s="24"/>
    </row>
    <row r="552" spans="8:9" ht="14.25" customHeight="1" x14ac:dyDescent="0.15">
      <c r="H552" s="24"/>
      <c r="I552" s="24"/>
    </row>
    <row r="553" spans="8:9" ht="14.25" customHeight="1" x14ac:dyDescent="0.15">
      <c r="H553" s="24"/>
      <c r="I553" s="24"/>
    </row>
    <row r="554" spans="8:9" ht="14.25" customHeight="1" x14ac:dyDescent="0.15">
      <c r="H554" s="24"/>
      <c r="I554" s="24"/>
    </row>
    <row r="555" spans="8:9" ht="14.25" customHeight="1" x14ac:dyDescent="0.15">
      <c r="H555" s="24"/>
      <c r="I555" s="24"/>
    </row>
    <row r="556" spans="8:9" ht="14.25" customHeight="1" x14ac:dyDescent="0.15">
      <c r="H556" s="24"/>
      <c r="I556" s="24"/>
    </row>
    <row r="557" spans="8:9" ht="14.25" customHeight="1" x14ac:dyDescent="0.15">
      <c r="H557" s="24"/>
      <c r="I557" s="24"/>
    </row>
    <row r="558" spans="8:9" ht="14.25" customHeight="1" x14ac:dyDescent="0.15">
      <c r="H558" s="24"/>
      <c r="I558" s="24"/>
    </row>
    <row r="559" spans="8:9" ht="14.25" customHeight="1" x14ac:dyDescent="0.15">
      <c r="H559" s="24"/>
      <c r="I559" s="24"/>
    </row>
    <row r="560" spans="8:9" ht="14.25" customHeight="1" x14ac:dyDescent="0.15">
      <c r="H560" s="24"/>
      <c r="I560" s="24"/>
    </row>
    <row r="561" spans="8:9" ht="14.25" customHeight="1" x14ac:dyDescent="0.15">
      <c r="H561" s="24"/>
      <c r="I561" s="24"/>
    </row>
    <row r="562" spans="8:9" ht="14.25" customHeight="1" x14ac:dyDescent="0.15">
      <c r="H562" s="24"/>
      <c r="I562" s="24"/>
    </row>
    <row r="563" spans="8:9" ht="14.25" customHeight="1" x14ac:dyDescent="0.15">
      <c r="H563" s="24"/>
      <c r="I563" s="24"/>
    </row>
    <row r="564" spans="8:9" ht="14.25" customHeight="1" x14ac:dyDescent="0.15">
      <c r="H564" s="24"/>
      <c r="I564" s="24"/>
    </row>
    <row r="565" spans="8:9" ht="14.25" customHeight="1" x14ac:dyDescent="0.15">
      <c r="H565" s="24"/>
      <c r="I565" s="24"/>
    </row>
    <row r="566" spans="8:9" ht="14.25" customHeight="1" x14ac:dyDescent="0.15">
      <c r="H566" s="24"/>
      <c r="I566" s="24"/>
    </row>
    <row r="567" spans="8:9" ht="14.25" customHeight="1" x14ac:dyDescent="0.15">
      <c r="H567" s="24"/>
      <c r="I567" s="24"/>
    </row>
    <row r="568" spans="8:9" ht="14.25" customHeight="1" x14ac:dyDescent="0.15">
      <c r="H568" s="24"/>
      <c r="I568" s="24"/>
    </row>
    <row r="569" spans="8:9" ht="14.25" customHeight="1" x14ac:dyDescent="0.15">
      <c r="H569" s="24"/>
      <c r="I569" s="24"/>
    </row>
    <row r="570" spans="8:9" ht="14.25" customHeight="1" x14ac:dyDescent="0.15">
      <c r="H570" s="24"/>
      <c r="I570" s="24"/>
    </row>
    <row r="571" spans="8:9" ht="14.25" customHeight="1" x14ac:dyDescent="0.15">
      <c r="H571" s="24"/>
      <c r="I571" s="24"/>
    </row>
    <row r="572" spans="8:9" ht="14.25" customHeight="1" x14ac:dyDescent="0.15">
      <c r="H572" s="24"/>
      <c r="I572" s="24"/>
    </row>
    <row r="573" spans="8:9" ht="14.25" customHeight="1" x14ac:dyDescent="0.15">
      <c r="H573" s="24"/>
      <c r="I573" s="24"/>
    </row>
    <row r="574" spans="8:9" ht="14.25" customHeight="1" x14ac:dyDescent="0.15">
      <c r="H574" s="24"/>
      <c r="I574" s="24"/>
    </row>
    <row r="575" spans="8:9" ht="14.25" customHeight="1" x14ac:dyDescent="0.15">
      <c r="H575" s="24"/>
      <c r="I575" s="24"/>
    </row>
    <row r="576" spans="8:9" ht="14.25" customHeight="1" x14ac:dyDescent="0.15">
      <c r="H576" s="24"/>
      <c r="I576" s="24"/>
    </row>
    <row r="577" spans="8:9" ht="14.25" customHeight="1" x14ac:dyDescent="0.15">
      <c r="H577" s="24"/>
      <c r="I577" s="24"/>
    </row>
    <row r="578" spans="8:9" ht="14.25" customHeight="1" x14ac:dyDescent="0.15">
      <c r="H578" s="24"/>
      <c r="I578" s="24"/>
    </row>
    <row r="579" spans="8:9" ht="14.25" customHeight="1" x14ac:dyDescent="0.15">
      <c r="H579" s="24"/>
      <c r="I579" s="24"/>
    </row>
    <row r="580" spans="8:9" ht="14.25" customHeight="1" x14ac:dyDescent="0.15">
      <c r="H580" s="24"/>
      <c r="I580" s="24"/>
    </row>
    <row r="581" spans="8:9" ht="14.25" customHeight="1" x14ac:dyDescent="0.15">
      <c r="H581" s="24"/>
      <c r="I581" s="24"/>
    </row>
    <row r="582" spans="8:9" ht="14.25" customHeight="1" x14ac:dyDescent="0.15">
      <c r="H582" s="24"/>
      <c r="I582" s="24"/>
    </row>
    <row r="583" spans="8:9" ht="14.25" customHeight="1" x14ac:dyDescent="0.15">
      <c r="H583" s="24"/>
      <c r="I583" s="24"/>
    </row>
    <row r="584" spans="8:9" ht="14.25" customHeight="1" x14ac:dyDescent="0.15">
      <c r="H584" s="24"/>
      <c r="I584" s="24"/>
    </row>
    <row r="585" spans="8:9" ht="14.25" customHeight="1" x14ac:dyDescent="0.15">
      <c r="H585" s="24"/>
      <c r="I585" s="24"/>
    </row>
    <row r="586" spans="8:9" ht="14.25" customHeight="1" x14ac:dyDescent="0.15">
      <c r="H586" s="24"/>
      <c r="I586" s="24"/>
    </row>
    <row r="587" spans="8:9" ht="14.25" customHeight="1" x14ac:dyDescent="0.15">
      <c r="H587" s="24"/>
      <c r="I587" s="24"/>
    </row>
    <row r="588" spans="8:9" ht="14.25" customHeight="1" x14ac:dyDescent="0.15">
      <c r="H588" s="24"/>
      <c r="I588" s="24"/>
    </row>
    <row r="589" spans="8:9" ht="14.25" customHeight="1" x14ac:dyDescent="0.15">
      <c r="H589" s="24"/>
      <c r="I589" s="24"/>
    </row>
    <row r="590" spans="8:9" ht="14.25" customHeight="1" x14ac:dyDescent="0.15">
      <c r="H590" s="24"/>
      <c r="I590" s="24"/>
    </row>
    <row r="591" spans="8:9" ht="14.25" customHeight="1" x14ac:dyDescent="0.15">
      <c r="H591" s="24"/>
      <c r="I591" s="24"/>
    </row>
    <row r="592" spans="8:9" ht="14.25" customHeight="1" x14ac:dyDescent="0.15">
      <c r="H592" s="24"/>
      <c r="I592" s="24"/>
    </row>
    <row r="593" spans="8:9" ht="14.25" customHeight="1" x14ac:dyDescent="0.15">
      <c r="H593" s="24"/>
      <c r="I593" s="24"/>
    </row>
    <row r="594" spans="8:9" ht="14.25" customHeight="1" x14ac:dyDescent="0.15">
      <c r="H594" s="24"/>
      <c r="I594" s="24"/>
    </row>
    <row r="595" spans="8:9" ht="14.25" customHeight="1" x14ac:dyDescent="0.15">
      <c r="H595" s="24"/>
      <c r="I595" s="24"/>
    </row>
    <row r="596" spans="8:9" ht="14.25" customHeight="1" x14ac:dyDescent="0.15">
      <c r="H596" s="24"/>
      <c r="I596" s="24"/>
    </row>
    <row r="597" spans="8:9" ht="14.25" customHeight="1" x14ac:dyDescent="0.15">
      <c r="H597" s="24"/>
      <c r="I597" s="24"/>
    </row>
    <row r="598" spans="8:9" ht="14.25" customHeight="1" x14ac:dyDescent="0.15">
      <c r="H598" s="24"/>
      <c r="I598" s="24"/>
    </row>
    <row r="599" spans="8:9" ht="14.25" customHeight="1" x14ac:dyDescent="0.15">
      <c r="H599" s="24"/>
      <c r="I599" s="24"/>
    </row>
    <row r="600" spans="8:9" ht="14.25" customHeight="1" x14ac:dyDescent="0.15">
      <c r="H600" s="24"/>
      <c r="I600" s="24"/>
    </row>
    <row r="601" spans="8:9" ht="14.25" customHeight="1" x14ac:dyDescent="0.15">
      <c r="H601" s="24"/>
      <c r="I601" s="24"/>
    </row>
    <row r="602" spans="8:9" ht="14.25" customHeight="1" x14ac:dyDescent="0.15">
      <c r="H602" s="24"/>
      <c r="I602" s="24"/>
    </row>
    <row r="603" spans="8:9" ht="14.25" customHeight="1" x14ac:dyDescent="0.15">
      <c r="H603" s="24"/>
      <c r="I603" s="24"/>
    </row>
    <row r="604" spans="8:9" ht="14.25" customHeight="1" x14ac:dyDescent="0.15">
      <c r="H604" s="24"/>
      <c r="I604" s="24"/>
    </row>
    <row r="605" spans="8:9" ht="14.25" customHeight="1" x14ac:dyDescent="0.15">
      <c r="H605" s="24"/>
      <c r="I605" s="24"/>
    </row>
    <row r="606" spans="8:9" ht="14.25" customHeight="1" x14ac:dyDescent="0.15">
      <c r="H606" s="24"/>
      <c r="I606" s="24"/>
    </row>
    <row r="607" spans="8:9" ht="14.25" customHeight="1" x14ac:dyDescent="0.15">
      <c r="H607" s="24"/>
      <c r="I607" s="24"/>
    </row>
    <row r="608" spans="8:9" ht="14.25" customHeight="1" x14ac:dyDescent="0.15">
      <c r="H608" s="24"/>
      <c r="I608" s="24"/>
    </row>
    <row r="609" spans="8:9" ht="14.25" customHeight="1" x14ac:dyDescent="0.15">
      <c r="H609" s="24"/>
      <c r="I609" s="24"/>
    </row>
    <row r="610" spans="8:9" ht="14.25" customHeight="1" x14ac:dyDescent="0.15">
      <c r="H610" s="24"/>
      <c r="I610" s="24"/>
    </row>
    <row r="611" spans="8:9" ht="14.25" customHeight="1" x14ac:dyDescent="0.15">
      <c r="H611" s="24"/>
      <c r="I611" s="24"/>
    </row>
    <row r="612" spans="8:9" ht="14.25" customHeight="1" x14ac:dyDescent="0.15">
      <c r="H612" s="24"/>
      <c r="I612" s="24"/>
    </row>
    <row r="613" spans="8:9" ht="14.25" customHeight="1" x14ac:dyDescent="0.15">
      <c r="H613" s="24"/>
      <c r="I613" s="24"/>
    </row>
    <row r="614" spans="8:9" ht="14.25" customHeight="1" x14ac:dyDescent="0.15">
      <c r="H614" s="24"/>
      <c r="I614" s="24"/>
    </row>
    <row r="615" spans="8:9" ht="14.25" customHeight="1" x14ac:dyDescent="0.15">
      <c r="H615" s="24"/>
      <c r="I615" s="24"/>
    </row>
    <row r="616" spans="8:9" ht="14.25" customHeight="1" x14ac:dyDescent="0.15">
      <c r="H616" s="24"/>
      <c r="I616" s="24"/>
    </row>
    <row r="617" spans="8:9" ht="14.25" customHeight="1" x14ac:dyDescent="0.15">
      <c r="H617" s="24"/>
      <c r="I617" s="24"/>
    </row>
    <row r="618" spans="8:9" ht="14.25" customHeight="1" x14ac:dyDescent="0.15">
      <c r="H618" s="24"/>
      <c r="I618" s="24"/>
    </row>
    <row r="619" spans="8:9" ht="14.25" customHeight="1" x14ac:dyDescent="0.15">
      <c r="H619" s="24"/>
      <c r="I619" s="24"/>
    </row>
    <row r="620" spans="8:9" ht="14.25" customHeight="1" x14ac:dyDescent="0.15">
      <c r="H620" s="24"/>
      <c r="I620" s="24"/>
    </row>
    <row r="621" spans="8:9" ht="14.25" customHeight="1" x14ac:dyDescent="0.15">
      <c r="H621" s="24"/>
      <c r="I621" s="24"/>
    </row>
    <row r="622" spans="8:9" ht="14.25" customHeight="1" x14ac:dyDescent="0.15">
      <c r="H622" s="24"/>
      <c r="I622" s="24"/>
    </row>
    <row r="623" spans="8:9" ht="14.25" customHeight="1" x14ac:dyDescent="0.15">
      <c r="H623" s="24"/>
      <c r="I623" s="24"/>
    </row>
    <row r="624" spans="8:9" ht="14.25" customHeight="1" x14ac:dyDescent="0.15">
      <c r="H624" s="24"/>
      <c r="I624" s="24"/>
    </row>
    <row r="625" spans="8:9" ht="14.25" customHeight="1" x14ac:dyDescent="0.15">
      <c r="H625" s="24"/>
      <c r="I625" s="24"/>
    </row>
    <row r="626" spans="8:9" ht="15.75" customHeight="1" x14ac:dyDescent="0.15"/>
    <row r="627" spans="8:9" ht="15.75" customHeight="1" x14ac:dyDescent="0.15"/>
    <row r="628" spans="8:9" ht="15.75" customHeight="1" x14ac:dyDescent="0.15"/>
    <row r="629" spans="8:9" ht="15.75" customHeight="1" x14ac:dyDescent="0.15"/>
    <row r="630" spans="8:9" ht="15.75" customHeight="1" x14ac:dyDescent="0.15"/>
    <row r="631" spans="8:9" ht="15.75" customHeight="1" x14ac:dyDescent="0.15"/>
    <row r="632" spans="8:9" ht="15.75" customHeight="1" x14ac:dyDescent="0.15"/>
    <row r="633" spans="8:9" ht="15.75" customHeight="1" x14ac:dyDescent="0.15"/>
    <row r="634" spans="8:9" ht="15.75" customHeight="1" x14ac:dyDescent="0.15"/>
    <row r="635" spans="8:9" ht="15.75" customHeight="1" x14ac:dyDescent="0.15"/>
    <row r="636" spans="8:9" ht="15.75" customHeight="1" x14ac:dyDescent="0.15"/>
    <row r="637" spans="8:9" ht="15.75" customHeight="1" x14ac:dyDescent="0.15"/>
    <row r="638" spans="8:9" ht="15.75" customHeight="1" x14ac:dyDescent="0.15"/>
    <row r="639" spans="8:9" ht="15.75" customHeight="1" x14ac:dyDescent="0.15"/>
    <row r="640" spans="8:9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</sheetPr>
  <dimension ref="A1:A1000"/>
  <sheetViews>
    <sheetView workbookViewId="0"/>
  </sheetViews>
  <sheetFormatPr defaultColWidth="12.625" defaultRowHeight="15" customHeight="1" x14ac:dyDescent="0.15"/>
  <cols>
    <col min="1" max="1" width="14.33984375" customWidth="1"/>
    <col min="2" max="2" width="26.48046875" customWidth="1"/>
    <col min="3" max="3" width="11.15234375" customWidth="1"/>
    <col min="4" max="4" width="14.7109375" customWidth="1"/>
    <col min="5" max="5" width="18.6328125" customWidth="1"/>
    <col min="6" max="6" width="29.0546875" customWidth="1"/>
  </cols>
  <sheetData>
    <row r="1" ht="14.25" customHeight="1" x14ac:dyDescent="0.15"/>
    <row r="2" ht="14.25" customHeight="1" x14ac:dyDescent="0.15"/>
    <row r="3" ht="14.25" customHeight="1" x14ac:dyDescent="0.15"/>
    <row r="4" ht="14.25" customHeight="1" x14ac:dyDescent="0.15"/>
    <row r="5" ht="14.25" customHeight="1" x14ac:dyDescent="0.15"/>
    <row r="6" ht="14.25" customHeight="1" x14ac:dyDescent="0.15"/>
    <row r="7" ht="14.25" customHeight="1" x14ac:dyDescent="0.15"/>
    <row r="8" ht="14.25" customHeight="1" x14ac:dyDescent="0.15"/>
    <row r="9" ht="14.25" customHeight="1" x14ac:dyDescent="0.15"/>
    <row r="10" ht="14.25" customHeight="1" x14ac:dyDescent="0.15"/>
    <row r="11" ht="14.25" customHeight="1" x14ac:dyDescent="0.15"/>
    <row r="12" ht="14.25" customHeight="1" x14ac:dyDescent="0.15"/>
    <row r="13" ht="14.25" customHeight="1" x14ac:dyDescent="0.15"/>
    <row r="14" ht="14.25" customHeight="1" x14ac:dyDescent="0.15"/>
    <row r="15" ht="14.25" customHeight="1" x14ac:dyDescent="0.15"/>
    <row r="16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Links you need</vt:lpstr>
      <vt:lpstr>TEXT FXN</vt:lpstr>
      <vt:lpstr>AGG FXN</vt:lpstr>
      <vt:lpstr>EXCEL TABLE</vt:lpstr>
      <vt:lpstr>POWER QUERY</vt:lpstr>
      <vt:lpstr>COND FORMATTING AND DATA</vt:lpstr>
      <vt:lpstr>Look UP FXN</vt:lpstr>
      <vt:lpstr>Sheet1</vt:lpstr>
      <vt:lpstr>CONDITIONAL FXN</vt:lpstr>
      <vt:lpstr>Power Pivot</vt:lpstr>
      <vt:lpstr>PT AND PC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Chinwe Mmereole</dc:creator>
  <dcterms:created xsi:type="dcterms:W3CDTF">2025-11-10T23:31:00Z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9AE2250542375E058C5B1269DE867807_42</vt:lpwstr>
  </property>
  <property fmtid="{D5CDD505-2E9C-101B-9397-08002B2CF9AE}" pid="3" name="KSOProductBuildVer">
    <vt:lpwstr>1033-12.1.22533.22533</vt:lpwstr>
  </property>
</Properties>
</file>